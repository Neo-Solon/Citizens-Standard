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ojection" sheetId="2" state="visible" r:id="rId4"/>
    <sheet name="Summary" sheetId="3" state="visible" r:id="rId5"/>
    <sheet name="Comparison" sheetId="4" state="visible" r:id="rId6"/>
    <sheet name="Mode Presets" sheetId="5" state="visible" r:id="rId7"/>
    <sheet name="How It Wor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Money supply, nominal</t>
        </r>
      </text>
    </comment>
    <comment ref="C4" authorId="0">
      <text>
        <r>
          <rPr>
            <sz val="10"/>
            <rFont val="Arial"/>
            <family val="2"/>
          </rPr>
          <t xml:space="preserve">Nominal GDP</t>
        </r>
      </text>
    </comment>
    <comment ref="D4" authorId="0">
      <text>
        <r>
          <rPr>
            <sz val="10"/>
            <rFont val="Arial"/>
            <family val="2"/>
          </rPr>
          <t xml:space="preserve">Citizens</t>
        </r>
      </text>
    </comment>
    <comment ref="E4" authorId="0">
      <text>
        <r>
          <rPr>
            <sz val="10"/>
            <rFont val="Arial"/>
            <family val="2"/>
          </rPr>
          <t xml:space="preserve">Price level, 1.0 at launch</t>
        </r>
      </text>
    </comment>
    <comment ref="F4" authorId="0">
      <text>
        <r>
          <rPr>
            <sz val="10"/>
            <rFont val="Arial"/>
            <family val="2"/>
          </rPr>
          <t xml:space="preserve">New citizens this year</t>
        </r>
      </text>
    </comment>
    <comment ref="G4" authorId="0">
      <text>
        <r>
          <rPr>
            <sz val="10"/>
            <rFont val="Arial"/>
            <family val="2"/>
          </rPr>
          <t xml:space="preserve">Citizenship endowment, all new citizens</t>
        </r>
      </text>
    </comment>
    <comment ref="H4" authorId="0">
      <text>
        <r>
          <rPr>
            <sz val="10"/>
            <rFont val="Arial"/>
            <family val="2"/>
          </rPr>
          <t xml:space="preserve">Growth dividend pool</t>
        </r>
      </text>
    </comment>
    <comment ref="I4" authorId="0">
      <text>
        <r>
          <rPr>
            <sz val="10"/>
            <rFont val="Arial"/>
            <family val="2"/>
          </rPr>
          <t xml:space="preserve">Citizen dividend pool</t>
        </r>
      </text>
    </comment>
    <comment ref="J4" authorId="0">
      <text>
        <r>
          <rPr>
            <sz val="10"/>
            <rFont val="Arial"/>
            <family val="2"/>
          </rPr>
          <t xml:space="preserve">Annual locked deposit</t>
        </r>
      </text>
    </comment>
    <comment ref="K4" authorId="0">
      <text>
        <r>
          <rPr>
            <sz val="10"/>
            <rFont val="Arial"/>
            <family val="2"/>
          </rPr>
          <t xml:space="preserve">Spendable dividend</t>
        </r>
      </text>
    </comment>
    <comment ref="L4" authorId="0">
      <text>
        <r>
          <rPr>
            <sz val="10"/>
            <rFont val="Arial"/>
            <family val="2"/>
          </rPr>
          <t xml:space="preserve">Locked equity, our representative</t>
        </r>
      </text>
    </comment>
    <comment ref="M4" authorId="0">
      <text>
        <r>
          <rPr>
            <sz val="10"/>
            <rFont val="Arial"/>
            <family val="2"/>
          </rPr>
          <t xml:space="preserve">Today-dollar purchasing power</t>
        </r>
      </text>
    </comment>
    <comment ref="N4" authorId="0">
      <text>
        <r>
          <rPr>
            <sz val="10"/>
            <rFont val="Arial"/>
            <family val="2"/>
          </rPr>
          <t xml:space="preserve">Lifetime dividend in today dollars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Vanguard, How America Saves 2025. Median balance for participants age 55-64.</t>
        </r>
      </text>
    </comment>
    <comment ref="B6" authorId="0">
      <text>
        <r>
          <rPr>
            <sz val="10"/>
            <rFont val="Arial"/>
            <family val="2"/>
          </rPr>
          <t xml:space="preserve">Source: Vanguard, How America Saves 2025. Average is skewed by high-balance accounts.</t>
        </r>
      </text>
    </comment>
    <comment ref="B7" authorId="0">
      <text>
        <r>
          <rPr>
            <sz val="10"/>
            <rFont val="Arial"/>
            <family val="2"/>
          </rPr>
          <t xml:space="preserve">Source: SSA Monthly Statistical Snapshot, March 2026. $2,079.49/mo × 12 months.</t>
        </r>
      </text>
    </comment>
    <comment ref="B8" authorId="0">
      <text>
        <r>
          <rPr>
            <sz val="10"/>
            <rFont val="Arial"/>
            <family val="2"/>
          </rPr>
          <t xml:space="preserve">Source: 2025 SSA Trustees Report. After OASI trust depletion (~2034), only 77-81% of scheduled benefits payable.</t>
        </r>
      </text>
    </comment>
    <comment ref="B9" authorId="0">
      <text>
        <r>
          <rPr>
            <sz val="10"/>
            <rFont val="Arial"/>
            <family val="2"/>
          </rPr>
          <t xml:space="preserve">Alaska Department of Revenue. Recent dividends $1,200-$3,300/year; default mid-range value.</t>
        </r>
      </text>
    </comment>
    <comment ref="B10" authorId="0">
      <text>
        <r>
          <rPr>
            <sz val="10"/>
            <rFont val="Arial"/>
            <family val="2"/>
          </rPr>
          <t xml:space="preserve">Yang-style $1,000/mo UBI. Funded by tax (not seigniorage). Adjustable.</t>
        </r>
      </text>
    </comment>
    <comment ref="B11" authorId="0">
      <text>
        <r>
          <rPr>
            <sz val="10"/>
            <rFont val="Arial"/>
            <family val="2"/>
          </rPr>
          <t xml:space="preserve">Common MMT proposal: $15/hr × 2080 hrs annually.</t>
        </r>
      </text>
    </comment>
    <comment ref="B13" authorId="0">
      <text>
        <r>
          <rPr>
            <sz val="10"/>
            <rFont val="Arial"/>
            <family val="2"/>
          </rPr>
          <t xml:space="preserve">Type one of: median, average, ss-cut. The comparison table updates accordingly.</t>
        </r>
      </text>
    </comment>
    <comment ref="B17" authorId="0">
      <text>
        <r>
          <rPr>
            <sz val="10"/>
            <rFont val="Arial"/>
            <family val="2"/>
          </rPr>
          <t xml:space="preserve">Citizens Standard: pulls Stable Floor from Summary sheet.</t>
        </r>
      </text>
    </comment>
    <comment ref="B18" authorId="0">
      <text>
        <r>
          <rPr>
            <sz val="10"/>
            <rFont val="Arial"/>
            <family val="2"/>
          </rPr>
          <t xml:space="preserve">Citizens Standard: cumulative K3 in real dollars.</t>
        </r>
      </text>
    </comment>
    <comment ref="B19" authorId="0">
      <text>
        <r>
          <rPr>
            <sz val="10"/>
            <rFont val="Arial"/>
            <family val="2"/>
          </rPr>
          <t xml:space="preserve">CS: 4% withdrawal of Stable Floor + ongoing K3.</t>
        </r>
      </text>
    </comment>
  </commentList>
</comments>
</file>

<file path=xl/sharedStrings.xml><?xml version="1.0" encoding="utf-8"?>
<sst xmlns="http://schemas.openxmlformats.org/spreadsheetml/2006/main" count="291" uniqueCount="244">
  <si>
    <t xml:space="preserve">Citizens Standard — Interactive Model Builder</t>
  </si>
  <si>
    <t xml:space="preserve">Adjust the yellow cells; everything else recalculates. Mode A = maximum wealth (deflation). Mode B = stable prices. Mode C = monthly dividend (inflation). See Mode Presets sheet for reference values.</t>
  </si>
  <si>
    <t xml:space="preserve">Parameter</t>
  </si>
  <si>
    <t xml:space="preserve">Value</t>
  </si>
  <si>
    <t xml:space="preserve">Unit</t>
  </si>
  <si>
    <t xml:space="preserve">Notes</t>
  </si>
  <si>
    <t xml:space="preserve">Issuance channels (K-values)</t>
  </si>
  <si>
    <t xml:space="preserve">K1 — Citizenship endowment</t>
  </si>
  <si>
    <t xml:space="preserve">% of GDP/capita per new citizen</t>
  </si>
  <si>
    <t xml:space="preserve">Mode A: 2.5%. Constitutional ceiling 5% (normal), 7.5% emergency.</t>
  </si>
  <si>
    <t xml:space="preserve">K2 — Growth dividend</t>
  </si>
  <si>
    <t xml:space="preserve">% of real growth, distributed equally</t>
  </si>
  <si>
    <t xml:space="preserve">Mode A: 12.5%. Mode B: ~84% (or whatever closes to real_growth × M2). Constitutional ceiling 25%.</t>
  </si>
  <si>
    <t xml:space="preserve">K3 — Citizen dividend</t>
  </si>
  <si>
    <t xml:space="preserve">% of M2 issued annually as monthly dividend</t>
  </si>
  <si>
    <t xml:space="preserve">Mode A &amp; B: 0%. Mode C: ~4% (calibrated to hit 2% inflation target).</t>
  </si>
  <si>
    <t xml:space="preserve">Macro environment</t>
  </si>
  <si>
    <t xml:space="preserve">Real GDP growth rate</t>
  </si>
  <si>
    <t xml:space="preserve">annual</t>
  </si>
  <si>
    <t xml:space="preserve">Long-run US average ~2%. Drops in recessions.</t>
  </si>
  <si>
    <t xml:space="preserve">Population growth rate</t>
  </si>
  <si>
    <t xml:space="preserve">US recent: 0.5%. Sets new-citizen K1 deposits.</t>
  </si>
  <si>
    <t xml:space="preserve">CPI inflation rate</t>
  </si>
  <si>
    <t xml:space="preserve">annual, target</t>
  </si>
  <si>
    <t xml:space="preserve">Mode A: -1.6%. Mode B: 0%. Mode C: 2.0%.</t>
  </si>
  <si>
    <t xml:space="preserve">Equity index real return</t>
  </si>
  <si>
    <t xml:space="preserve">Stable Floor compounds at this rate (after-inflation if CPI=0; nominal otherwise — see notes).</t>
  </si>
  <si>
    <t xml:space="preserve">Launch conditions (year 0)</t>
  </si>
  <si>
    <t xml:space="preserve">M2 money supply</t>
  </si>
  <si>
    <t xml:space="preserve">dollars</t>
  </si>
  <si>
    <t xml:space="preserve">US M2 in launch year. Determines circulating pool size.</t>
  </si>
  <si>
    <t xml:space="preserve">Nominal GDP</t>
  </si>
  <si>
    <t xml:space="preserve">US GDP in launch year.</t>
  </si>
  <si>
    <t xml:space="preserve">Population</t>
  </si>
  <si>
    <t xml:space="preserve">citizens</t>
  </si>
  <si>
    <t xml:space="preserve">Verified citizens at launch.</t>
  </si>
  <si>
    <t xml:space="preserve">Projection horizon</t>
  </si>
  <si>
    <t xml:space="preserve">years</t>
  </si>
  <si>
    <t xml:space="preserve">Cohort tracked from age 0 to this age.</t>
  </si>
  <si>
    <t xml:space="preserve">Withdrawal rate at horizon</t>
  </si>
  <si>
    <t xml:space="preserve">% of Stable Floor</t>
  </si>
  <si>
    <t xml:space="preserve">Conventional 4% safe withdrawal rate.</t>
  </si>
  <si>
    <t xml:space="preserve">Year-by-year simulation</t>
  </si>
  <si>
    <t xml:space="preserve">All values computed from Inputs. Black text = formulas. Do not edit.</t>
  </si>
  <si>
    <t xml:space="preserve">Year</t>
  </si>
  <si>
    <t xml:space="preserve">M2 ($)</t>
  </si>
  <si>
    <t xml:space="preserve">GDP ($)</t>
  </si>
  <si>
    <t xml:space="preserve">CPI index</t>
  </si>
  <si>
    <t xml:space="preserve">Births</t>
  </si>
  <si>
    <t xml:space="preserve">K1 total ($)</t>
  </si>
  <si>
    <t xml:space="preserve">K2 total ($)</t>
  </si>
  <si>
    <t xml:space="preserve">K3 total ($)</t>
  </si>
  <si>
    <t xml:space="preserve">K2 / citizen</t>
  </si>
  <si>
    <t xml:space="preserve">K3 monthly / citizen</t>
  </si>
  <si>
    <t xml:space="preserve">Cohort floor (nominal $)</t>
  </si>
  <si>
    <t xml:space="preserve">Cohort floor (real $)</t>
  </si>
  <si>
    <t xml:space="preserve">Cohort K3 cumulative (real $)</t>
  </si>
  <si>
    <t xml:space="preserve">Headline outcomes at horizon</t>
  </si>
  <si>
    <t xml:space="preserve">Pulled live from Projection sheet using the Inputs!horizon value.</t>
  </si>
  <si>
    <t xml:space="preserve">Output</t>
  </si>
  <si>
    <t xml:space="preserve">Definition</t>
  </si>
  <si>
    <t xml:space="preserve">Stable Floor at horizon (real $)</t>
  </si>
  <si>
    <t xml:space="preserve">Locked equity for one citizen, in launch-year purchasing power.</t>
  </si>
  <si>
    <t xml:space="preserve">Annual real income at horizon</t>
  </si>
  <si>
    <t xml:space="preserve">Stable Floor × withdrawal rate.</t>
  </si>
  <si>
    <t xml:space="preserve">K3 monthly dividend, year 1</t>
  </si>
  <si>
    <t xml:space="preserve">K3 spendable dividend per citizen, first year.</t>
  </si>
  <si>
    <t xml:space="preserve">K3 cumulative lifetime (real $)</t>
  </si>
  <si>
    <t xml:space="preserve">Total dividend received by horizon, today dollars.</t>
  </si>
  <si>
    <t xml:space="preserve">Total real wealth at horizon</t>
  </si>
  <si>
    <t xml:space="preserve">Stable Floor + cumulative K3 (both real $).</t>
  </si>
  <si>
    <t xml:space="preserve">Total issuance / M2, year 1</t>
  </si>
  <si>
    <t xml:space="preserve">Annual K1+K2+K3 as fraction of money supply.</t>
  </si>
  <si>
    <t xml:space="preserve">Total issuance / GDP, year 1</t>
  </si>
  <si>
    <t xml:space="preserve">Annual K1+K2+K3 as fraction of GDP.</t>
  </si>
  <si>
    <t xml:space="preserve">M2 at horizon ($)</t>
  </si>
  <si>
    <t xml:space="preserve">Final money supply.</t>
  </si>
  <si>
    <t xml:space="preserve">GDP at horizon ($)</t>
  </si>
  <si>
    <t xml:space="preserve">Final nominal GDP.</t>
  </si>
  <si>
    <t xml:space="preserve">Population at horizon</t>
  </si>
  <si>
    <t xml:space="preserve">Final citizen count.</t>
  </si>
  <si>
    <t xml:space="preserve">CPI index at horizon</t>
  </si>
  <si>
    <t xml:space="preserve">Price level relative to launch (1.0 = no change).</t>
  </si>
  <si>
    <t xml:space="preserve">How does the Citizens Standard compare to real-world outcomes?</t>
  </si>
  <si>
    <t xml:space="preserve">Each column shows what one citizen actually receives under that system, using real-world median data — not theoretical maximums. Toggle the scenario in the yellow cell below to switch between median, average, and post-SS-cut outcomes.</t>
  </si>
  <si>
    <t xml:space="preserve">Real-world data anchors</t>
  </si>
  <si>
    <t xml:space="preserve">Median 401(k) at age 55-64</t>
  </si>
  <si>
    <t xml:space="preserve">Vanguard 2025 — half of Americans have less</t>
  </si>
  <si>
    <t xml:space="preserve">Average 401(k) at age 55-64</t>
  </si>
  <si>
    <t xml:space="preserve">Vanguard 2025 — skewed by top earners</t>
  </si>
  <si>
    <t xml:space="preserve">Average SS benefit (annual)</t>
  </si>
  <si>
    <t xml:space="preserve">SSA Mar 2026 — $2,079.49/mo × 12</t>
  </si>
  <si>
    <t xml:space="preserve">SS benefit cut after trust depletion</t>
  </si>
  <si>
    <t xml:space="preserve">2025 SSA Trustees Report — projected ~2034</t>
  </si>
  <si>
    <t xml:space="preserve">Alaska PFD (annual)</t>
  </si>
  <si>
    <t xml:space="preserve">Alaska DOR — recent average</t>
  </si>
  <si>
    <t xml:space="preserve">UBI proposal (monthly)</t>
  </si>
  <si>
    <t xml:space="preserve">Adjustable — common UBI proposal level</t>
  </si>
  <si>
    <t xml:space="preserve">MMT jobs guarantee wage</t>
  </si>
  <si>
    <t xml:space="preserve">$15/hr × 2080 hrs</t>
  </si>
  <si>
    <t xml:space="preserve">Scenario</t>
  </si>
  <si>
    <t xml:space="preserve">median</t>
  </si>
  <si>
    <t xml:space="preserve">Type: median, average, or ss-cut</t>
  </si>
  <si>
    <t xml:space="preserve">Lifetime delivery to one citizen, age 0 → horizon</t>
  </si>
  <si>
    <t xml:space="preserve">Metric</t>
  </si>
  <si>
    <t xml:space="preserve">Citizens
Standard</t>
  </si>
  <si>
    <t xml:space="preserve">Fed status quo
+ SS</t>
  </si>
  <si>
    <t xml:space="preserve">Chicago
Plan</t>
  </si>
  <si>
    <t xml:space="preserve">Friedman
k-rule</t>
  </si>
  <si>
    <t xml:space="preserve">Bitcoin /
fixed supply</t>
  </si>
  <si>
    <t xml:space="preserve">Alaska PFD
(US-scale)</t>
  </si>
  <si>
    <t xml:space="preserve">UBI
(tax-funded)</t>
  </si>
  <si>
    <t xml:space="preserve">MMT + jobs
guarantee</t>
  </si>
  <si>
    <t xml:space="preserve">Wealth at horizon (real $)</t>
  </si>
  <si>
    <t xml:space="preserve">Lifetime cash transfers (real $)</t>
  </si>
  <si>
    <t xml:space="preserve">Annual retirement income</t>
  </si>
  <si>
    <t xml:space="preserve">Structural properties</t>
  </si>
  <si>
    <t xml:space="preserve">Rules-based (no committee discretion)</t>
  </si>
  <si>
    <t xml:space="preserve">✓</t>
  </si>
  <si>
    <t xml:space="preserve">✗</t>
  </si>
  <si>
    <t xml:space="preserve">partial</t>
  </si>
  <si>
    <t xml:space="preserve">Per-citizen distribution</t>
  </si>
  <si>
    <t xml:space="preserve">Real-growth response</t>
  </si>
  <si>
    <t xml:space="preserve">Crisis response capacity</t>
  </si>
  <si>
    <t xml:space="preserve">bounded</t>
  </si>
  <si>
    <t xml:space="preserve">unbounded</t>
  </si>
  <si>
    <t xml:space="preserve">limited</t>
  </si>
  <si>
    <t xml:space="preserve">none</t>
  </si>
  <si>
    <t xml:space="preserve">Constitutional / hard to revoke</t>
  </si>
  <si>
    <t xml:space="preserve">Funded by</t>
  </si>
  <si>
    <t xml:space="preserve">Seigniorage</t>
  </si>
  <si>
    <t xml:space="preserve">Mixed</t>
  </si>
  <si>
    <t xml:space="preserve">Govt seigniorage</t>
  </si>
  <si>
    <t xml:space="preserve">Fed seigniorage</t>
  </si>
  <si>
    <t xml:space="preserve">Mining rewards</t>
  </si>
  <si>
    <t xml:space="preserve">Resource royalty</t>
  </si>
  <si>
    <t xml:space="preserve">Taxation</t>
  </si>
  <si>
    <t xml:space="preserve">Treasury seigniorage</t>
  </si>
  <si>
    <t xml:space="preserve">Honest caveats</t>
  </si>
  <si>
    <t xml:space="preserve">Citizens Standard</t>
  </si>
  <si>
    <t xml:space="preserve">Single-cohort projection with constant rates. K3 modeled as flat % of M2 (not full price-level path targeting). Real values use your CPI input.</t>
  </si>
  <si>
    <t xml:space="preserve">Fed status quo</t>
  </si>
  <si>
    <t xml:space="preserve">Uses real-world median 401(k) balance ($87,571 at 55-64, Vanguard 2025) — what Americans actually retire with, not what disciplined savers theoretically could. Add SS at scenario-appropriate level.</t>
  </si>
  <si>
    <t xml:space="preserve">Chicago Plan</t>
  </si>
  <si>
    <t xml:space="preserve">1933 proposal eliminated bank money creation but never specified seigniorage distribution. Citizens still rely on personal savings.</t>
  </si>
  <si>
    <t xml:space="preserve">Friedman k-rule</t>
  </si>
  <si>
    <t xml:space="preserve">Specified rate of monetary expansion but never the distribution channel. Nothing reaches citizens directly.</t>
  </si>
  <si>
    <t xml:space="preserve">Bitcoin</t>
  </si>
  <si>
    <t xml:space="preserve">Treated as savings vehicle with same equity-equivalent return for fair comparison. Real Bitcoin returns have been wildly volatile.</t>
  </si>
  <si>
    <t xml:space="preserve">Alaska PFD</t>
  </si>
  <si>
    <t xml:space="preserve">Modeled at $1,700/yr default. Real Alaska PFD funded by oil royalties, not seigniorage.</t>
  </si>
  <si>
    <t xml:space="preserve">UBI</t>
  </si>
  <si>
    <t xml:space="preserve">Funded by taxation, not money creation. Fiscal sustainability question is real and unresolved at scale.</t>
  </si>
  <si>
    <t xml:space="preserve">MMT</t>
  </si>
  <si>
    <t xml:space="preserve">Assumes citizen employed in jobs guarantee for full 43-year working life. Inflation control depends on tax policy responding correctly to demand pressure.</t>
  </si>
  <si>
    <t xml:space="preserve">Data sources</t>
  </si>
  <si>
    <t xml:space="preserve">Vanguard, How America Saves 2025: median 401(k) at 55-64 = $87,571; average = $244,750.</t>
  </si>
  <si>
    <t xml:space="preserve">Social Security Administration, Monthly Statistical Snapshot, March 2026: average retired-worker benefit = $2,079.49/month.</t>
  </si>
  <si>
    <t xml:space="preserve">2025 SSA Trustees Report: OASI trust fund projected to deplete ~2034; benefits cut to ~77-81% of scheduled.</t>
  </si>
  <si>
    <t xml:space="preserve">SSA/CBO replacement rate analyses: ~37-42% for average earner.</t>
  </si>
  <si>
    <t xml:space="preserve">Alaska Department of Revenue: PFD historical range $1,200-$3,300/year.</t>
  </si>
  <si>
    <t xml:space="preserve">Mode reference values from the paper</t>
  </si>
  <si>
    <t xml:space="preserve">Copy these into the Inputs sheet to replay any of the three constitutional Modes.</t>
  </si>
  <si>
    <t xml:space="preserve">What each Mode optimizes</t>
  </si>
  <si>
    <t xml:space="preserve">Mode A — Maximum wealth (deflation)</t>
  </si>
  <si>
    <t xml:space="preserve">Mode B — Stable prices (neutral)</t>
  </si>
  <si>
    <t xml:space="preserve">Mode C — Monthly dividend (inflation)</t>
  </si>
  <si>
    <t xml:space="preserve">K1 — Citizenship</t>
  </si>
  <si>
    <t xml:space="preserve">2.5%</t>
  </si>
  <si>
    <t xml:space="preserve">Identical across modes — anchor the citizenship endowment.</t>
  </si>
  <si>
    <t xml:space="preserve">K2 — Growth</t>
  </si>
  <si>
    <t xml:space="preserve">12.5%</t>
  </si>
  <si>
    <t xml:space="preserve">84%</t>
  </si>
  <si>
    <t xml:space="preserve">Mode B raises K2 share to absorb full real-growth issuance.</t>
  </si>
  <si>
    <t xml:space="preserve">K3 — Dividend</t>
  </si>
  <si>
    <t xml:space="preserve">0%</t>
  </si>
  <si>
    <t xml:space="preserve">~4.0%</t>
  </si>
  <si>
    <t xml:space="preserve">Mode C only. Calibrated by price-level path targeting.</t>
  </si>
  <si>
    <t xml:space="preserve">CPI target</t>
  </si>
  <si>
    <t xml:space="preserve">-1.6%</t>
  </si>
  <si>
    <t xml:space="preserve">+2.0%</t>
  </si>
  <si>
    <t xml:space="preserve">The defining macro outcome of each mode.</t>
  </si>
  <si>
    <t xml:space="preserve">Stable Floor at 65 (real)</t>
  </si>
  <si>
    <t xml:space="preserve">$1.7M</t>
  </si>
  <si>
    <t xml:space="preserve">$2.6M</t>
  </si>
  <si>
    <t xml:space="preserve">$145K</t>
  </si>
  <si>
    <t xml:space="preserve">Mode A wins on long-run wealth; Mode C trades it for dividends.</t>
  </si>
  <si>
    <t xml:space="preserve">Annual real income at 65</t>
  </si>
  <si>
    <t xml:space="preserve">$68K</t>
  </si>
  <si>
    <t xml:space="preserve">$105K</t>
  </si>
  <si>
    <t xml:space="preserve">$5.8K + K3</t>
  </si>
  <si>
    <t xml:space="preserve">4% withdrawal rate, plus ongoing K3 in Mode C.</t>
  </si>
  <si>
    <t xml:space="preserve">K3 monthly dividend, yr 1</t>
  </si>
  <si>
    <t xml:space="preserve">$0</t>
  </si>
  <si>
    <t xml:space="preserve">$208</t>
  </si>
  <si>
    <t xml:space="preserve">Per citizen, rises with M2 over time.</t>
  </si>
  <si>
    <t xml:space="preserve">Total issuance / M2</t>
  </si>
  <si>
    <t xml:space="preserve">~0.35%</t>
  </si>
  <si>
    <t xml:space="preserve">~2.5%</t>
  </si>
  <si>
    <t xml:space="preserve">~4.1%</t>
  </si>
  <si>
    <t xml:space="preserve">Annual issuance as fraction of money supply.</t>
  </si>
  <si>
    <t xml:space="preserve">Constitutional change</t>
  </si>
  <si>
    <t xml:space="preserve">Tier 2: 67% supermajority + 90-day deliberation</t>
  </si>
  <si>
    <t xml:space="preserve">Modes do NOT auto-rotate. Selection is a constitutional act.</t>
  </si>
  <si>
    <t xml:space="preserve">Mode philosophy</t>
  </si>
  <si>
    <t xml:space="preserve">Mode A</t>
  </si>
  <si>
    <t xml:space="preserve">Maximum lifetime wealth via gentle deflation. No monthly dividend. K2 contracts to ~12.5% so most of real growth flows to falling prices rather than expanding M2. The Stable Floor compounds aggressively because purchasing power rises over time. Best for retirement-focused societies.</t>
  </si>
  <si>
    <t xml:space="preserve">Mode B</t>
  </si>
  <si>
    <t xml:space="preserve">Price stability. K2 expanded to ~84% so circulating money matches real growth exactly — no monetary inflation, no monetary deflation. Highest possible Stable Floor wealth without dividend. Default neutral mode.</t>
  </si>
  <si>
    <t xml:space="preserve">Mode C</t>
  </si>
  <si>
    <t xml:space="preserve">Monthly citizen dividend at the cost of lower locked wealth. K3 activates (~4% of M2) and is calibrated by price-level path targeting to hit ~2% inflation. Citizens get ~$208/month at launch (rising over time) plus a smaller Stable Floor.</t>
  </si>
  <si>
    <t xml:space="preserve">Formula reference and assumptions — Interactive Model Builder</t>
  </si>
  <si>
    <t xml:space="preserve">Architecture</t>
  </si>
  <si>
    <t xml:space="preserve">Two pools</t>
  </si>
  <si>
    <t xml:space="preserve">Circulating money (M2) and the Citizen Equity Stake (Stable Floor). They intersect only at K1/K2 issuance and at retirement withdrawals.</t>
  </si>
  <si>
    <t xml:space="preserve">Three channels</t>
  </si>
  <si>
    <t xml:space="preserve">K1 fires once per new citizen. K2 fires every year. K3 fires monthly (active in Mode C).</t>
  </si>
  <si>
    <t xml:space="preserve">K1 formula</t>
  </si>
  <si>
    <t xml:space="preserve">K1 total = K1_share × (GDP / population) × births_this_year</t>
  </si>
  <si>
    <t xml:space="preserve">K2 formula</t>
  </si>
  <si>
    <t xml:space="preserve">K2 total = K2_share × (GDP × real_growth_rate)</t>
  </si>
  <si>
    <t xml:space="preserve">K3 formula</t>
  </si>
  <si>
    <t xml:space="preserve">K3 total = K3_share × M2  (paper uses price-level path targeting; this engine uses a flat % of M2 as the simplified equivalent)</t>
  </si>
  <si>
    <t xml:space="preserve">Stable Floor</t>
  </si>
  <si>
    <t xml:space="preserve">For our representative cohort (born at t=0): floor compounds at the equity return rate. K1 is deposited once at birth; K2 is deposited every year. Both lock until retirement.</t>
  </si>
  <si>
    <t xml:space="preserve">Real values</t>
  </si>
  <si>
    <t xml:space="preserve">CPI index starts at 1.0 and grows at the CPI inflation rate. Real value = nominal / CPI index.</t>
  </si>
  <si>
    <t xml:space="preserve">K3 distribution</t>
  </si>
  <si>
    <t xml:space="preserve">K3 is unlocked, immediately spendable, deposited monthly into citizen transaction accounts.</t>
  </si>
  <si>
    <t xml:space="preserve">Simplifications</t>
  </si>
  <si>
    <t xml:space="preserve">This engine is a single-cohort projection with constant rates. The full paper models stochastic returns, mode transitions, sequence-of-returns risk, and emergency tools. Use this for intuition, not policy calibration.</t>
  </si>
  <si>
    <t xml:space="preserve">Equity return</t>
  </si>
  <si>
    <t xml:space="preserve">Treated as nominal in this model. If you want real returns, set CPI=0 and the equity return is automatically real.</t>
  </si>
  <si>
    <t xml:space="preserve">Births formula</t>
  </si>
  <si>
    <t xml:space="preserve">Births = pop × pop_growth_rate. Real demographics are more complex; this is a proxy.</t>
  </si>
  <si>
    <t xml:space="preserve">Mode C K3 calibration</t>
  </si>
  <si>
    <t xml:space="preserve">The paper calibrates K3 dynamically to close the cumulative CPI gap. Setting K3 to a flat ~4% of M2 reproduces the launch-year value but not the dynamic behavior.</t>
  </si>
  <si>
    <t xml:space="preserve">Color code</t>
  </si>
  <si>
    <t xml:space="preserve">Blue = adjustable input. Black = formula. Green = pulled from another sheet. Yellow highlight = change me.</t>
  </si>
  <si>
    <t xml:space="preserve">Built from</t>
  </si>
  <si>
    <t xml:space="preserve">The Citizens Standard, Triple-Mode Edition (May 2026), by Neo-Solon.</t>
  </si>
  <si>
    <t xml:space="preserve">Comparison sheet</t>
  </si>
  <si>
    <t xml:space="preserve">Side-by-side view of Citizens Standard against 7 alternative systems using real-world median data (Vanguard 2025, SSA March 2026). Type "median", "average", or "ss-cut" in the yellow scenario cell at the top of the Comparison sheet to toggle outcomes. The "Real-world data anchors" section cites every source — these aren't theoretical maximums but what Americans actually retire with.</t>
  </si>
  <si>
    <t xml:space="preserve">Side-by-side view of Citizens Standard against 7 alternative systems (Fed status quo, Chicago Plan, Friedman k-rule, Bitcoin, Alaska PFD, UBI, MMT). Adjust the comparison-specific assumptions at the top of that sheet.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</si>
</sst>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;\(0.00%\);\-"/>
    <numFmt numFmtId="166" formatCode="\$#,##0;&quot;($&quot;#,##0\);\-"/>
    <numFmt numFmtId="167" formatCode="#,##0;\(#,##0\);\-"/>
    <numFmt numFmtId="168" formatCode="0"/>
    <numFmt numFmtId="169" formatCode="0.0000"/>
    <numFmt numFmtId="170" formatCode="\$#,##0.00;&quot;($&quot;#,##0.00\);\-"/>
    <numFmt numFmtId="171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A32D2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6F1FB"/>
        <bgColor rgb="FFE1F5EE"/>
      </patternFill>
    </fill>
    <fill>
      <patternFill patternType="solid">
        <fgColor rgb="FFF1EFE8"/>
        <bgColor rgb="FFE6F1FB"/>
      </patternFill>
    </fill>
    <fill>
      <patternFill patternType="solid">
        <fgColor rgb="FFFFFF00"/>
        <bgColor rgb="FFFFFF00"/>
      </patternFill>
    </fill>
    <fill>
      <patternFill patternType="solid">
        <fgColor rgb="FFFFFCE6"/>
        <bgColor rgb="FFF1EFE8"/>
      </patternFill>
    </fill>
    <fill>
      <patternFill patternType="solid">
        <fgColor rgb="FFE1F5EE"/>
        <bgColor rgb="FFE6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C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FBFBF"/>
      <rgbColor rgb="FF808080"/>
      <rgbColor rgb="FF9999FF"/>
      <rgbColor rgb="FF993366"/>
      <rgbColor rgb="FFF1EFE8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7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5"/>
      <c r="C5" s="5"/>
      <c r="D5" s="5"/>
    </row>
    <row r="6" customFormat="false" ht="15" hidden="false" customHeight="true" outlineLevel="0" collapsed="false">
      <c r="A6" s="6" t="s">
        <v>7</v>
      </c>
      <c r="B6" s="7" t="n">
        <v>0.025</v>
      </c>
      <c r="C6" s="8" t="s">
        <v>8</v>
      </c>
      <c r="D6" s="8" t="s">
        <v>9</v>
      </c>
    </row>
    <row r="7" customFormat="false" ht="15" hidden="false" customHeight="true" outlineLevel="0" collapsed="false">
      <c r="A7" s="6" t="s">
        <v>10</v>
      </c>
      <c r="B7" s="7" t="n">
        <v>0.125</v>
      </c>
      <c r="C7" s="8" t="s">
        <v>11</v>
      </c>
      <c r="D7" s="8" t="s">
        <v>12</v>
      </c>
    </row>
    <row r="8" customFormat="false" ht="15" hidden="false" customHeight="true" outlineLevel="0" collapsed="false">
      <c r="A8" s="6" t="s">
        <v>13</v>
      </c>
      <c r="B8" s="7" t="n">
        <v>0</v>
      </c>
      <c r="C8" s="8" t="s">
        <v>14</v>
      </c>
      <c r="D8" s="8" t="s">
        <v>15</v>
      </c>
    </row>
    <row r="10" customFormat="false" ht="15" hidden="false" customHeight="true" outlineLevel="0" collapsed="false">
      <c r="A10" s="5" t="s">
        <v>16</v>
      </c>
      <c r="B10" s="5"/>
      <c r="C10" s="5"/>
      <c r="D10" s="5"/>
    </row>
    <row r="11" customFormat="false" ht="15" hidden="false" customHeight="true" outlineLevel="0" collapsed="false">
      <c r="A11" s="6" t="s">
        <v>17</v>
      </c>
      <c r="B11" s="7" t="n">
        <v>0.02</v>
      </c>
      <c r="C11" s="8" t="s">
        <v>18</v>
      </c>
      <c r="D11" s="8" t="s">
        <v>19</v>
      </c>
    </row>
    <row r="12" customFormat="false" ht="15" hidden="false" customHeight="true" outlineLevel="0" collapsed="false">
      <c r="A12" s="6" t="s">
        <v>20</v>
      </c>
      <c r="B12" s="7" t="n">
        <v>0.005</v>
      </c>
      <c r="C12" s="8" t="s">
        <v>18</v>
      </c>
      <c r="D12" s="8" t="s">
        <v>21</v>
      </c>
    </row>
    <row r="13" customFormat="false" ht="15" hidden="false" customHeight="true" outlineLevel="0" collapsed="false">
      <c r="A13" s="6" t="s">
        <v>22</v>
      </c>
      <c r="B13" s="7" t="n">
        <v>0</v>
      </c>
      <c r="C13" s="8" t="s">
        <v>23</v>
      </c>
      <c r="D13" s="8" t="s">
        <v>24</v>
      </c>
    </row>
    <row r="14" customFormat="false" ht="15" hidden="false" customHeight="true" outlineLevel="0" collapsed="false">
      <c r="A14" s="6" t="s">
        <v>25</v>
      </c>
      <c r="B14" s="7" t="n">
        <v>0.065</v>
      </c>
      <c r="C14" s="8" t="s">
        <v>18</v>
      </c>
      <c r="D14" s="8" t="s">
        <v>26</v>
      </c>
    </row>
    <row r="16" customFormat="false" ht="15" hidden="false" customHeight="true" outlineLevel="0" collapsed="false">
      <c r="A16" s="5" t="s">
        <v>27</v>
      </c>
      <c r="B16" s="5"/>
      <c r="C16" s="5"/>
      <c r="D16" s="5"/>
    </row>
    <row r="17" customFormat="false" ht="15" hidden="false" customHeight="true" outlineLevel="0" collapsed="false">
      <c r="A17" s="6" t="s">
        <v>28</v>
      </c>
      <c r="B17" s="9" t="n">
        <v>22700000000000</v>
      </c>
      <c r="C17" s="8" t="s">
        <v>29</v>
      </c>
      <c r="D17" s="8" t="s">
        <v>30</v>
      </c>
    </row>
    <row r="18" customFormat="false" ht="15" hidden="false" customHeight="true" outlineLevel="0" collapsed="false">
      <c r="A18" s="6" t="s">
        <v>31</v>
      </c>
      <c r="B18" s="9" t="n">
        <v>30700000000000</v>
      </c>
      <c r="C18" s="8" t="s">
        <v>29</v>
      </c>
      <c r="D18" s="8" t="s">
        <v>32</v>
      </c>
    </row>
    <row r="19" customFormat="false" ht="15" hidden="false" customHeight="true" outlineLevel="0" collapsed="false">
      <c r="A19" s="6" t="s">
        <v>33</v>
      </c>
      <c r="B19" s="10" t="n">
        <v>342000000</v>
      </c>
      <c r="C19" s="8" t="s">
        <v>34</v>
      </c>
      <c r="D19" s="8" t="s">
        <v>35</v>
      </c>
    </row>
    <row r="20" customFormat="false" ht="15" hidden="false" customHeight="true" outlineLevel="0" collapsed="false">
      <c r="A20" s="6" t="s">
        <v>36</v>
      </c>
      <c r="B20" s="11" t="n">
        <v>65</v>
      </c>
      <c r="C20" s="8" t="s">
        <v>37</v>
      </c>
      <c r="D20" s="8" t="s">
        <v>38</v>
      </c>
    </row>
    <row r="21" customFormat="false" ht="15" hidden="false" customHeight="true" outlineLevel="0" collapsed="false">
      <c r="A21" s="6" t="s">
        <v>39</v>
      </c>
      <c r="B21" s="7" t="n">
        <v>0.04</v>
      </c>
      <c r="C21" s="8" t="s">
        <v>40</v>
      </c>
      <c r="D21" s="8" t="s">
        <v>41</v>
      </c>
    </row>
  </sheetData>
  <mergeCells count="5">
    <mergeCell ref="A1:D1"/>
    <mergeCell ref="A2:D2"/>
    <mergeCell ref="A5:D5"/>
    <mergeCell ref="A10:D10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9" min="7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3" min="12" style="1" width="20"/>
    <col collapsed="false" customWidth="true" hidden="false" outlineLevel="0" max="14" min="14" style="1" width="22"/>
  </cols>
  <sheetData>
    <row r="1" customFormat="false" ht="19.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12" t="s">
        <v>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customFormat="false" ht="15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33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54</v>
      </c>
      <c r="M4" s="4" t="s">
        <v>55</v>
      </c>
      <c r="N4" s="4" t="s">
        <v>56</v>
      </c>
    </row>
    <row r="5" customFormat="false" ht="15" hidden="false" customHeight="true" outlineLevel="0" collapsed="false">
      <c r="A5" s="13" t="n">
        <v>0</v>
      </c>
      <c r="B5" s="14" t="n">
        <f aca="false">Inputs!B17</f>
        <v>22700000000000</v>
      </c>
      <c r="C5" s="14" t="n">
        <f aca="false">Inputs!B18</f>
        <v>30700000000000</v>
      </c>
      <c r="D5" s="15" t="n">
        <f aca="false">Inputs!B19</f>
        <v>342000000</v>
      </c>
      <c r="E5" s="16" t="n">
        <v>1</v>
      </c>
      <c r="F5" s="17" t="n">
        <f aca="false">MAX(0,D5*Inputs!B12)</f>
        <v>1710000</v>
      </c>
      <c r="G5" s="18" t="n">
        <f aca="false">Inputs!B6*(C5/D5)*F5</f>
        <v>3837500000</v>
      </c>
      <c r="H5" s="18" t="n">
        <f aca="false">Inputs!B7*C5*Inputs!B11</f>
        <v>76750000000</v>
      </c>
      <c r="I5" s="18" t="n">
        <f aca="false">Inputs!B8*B5</f>
        <v>0</v>
      </c>
      <c r="J5" s="18" t="n">
        <f aca="false">IF(D5&gt;0,H5/D5,0)</f>
        <v>224.415204678363</v>
      </c>
      <c r="K5" s="19" t="n">
        <f aca="false">IF(D5&gt;0,I5/D5/12,0)</f>
        <v>0</v>
      </c>
      <c r="L5" s="18" t="n">
        <f aca="false">((G5/MAX(F5,1))+J5)*(1+Inputs!B14)</f>
        <v>2629.02412280702</v>
      </c>
      <c r="M5" s="18" t="n">
        <f aca="false">L5/E5</f>
        <v>2629.02412280702</v>
      </c>
      <c r="N5" s="18" t="n">
        <f aca="false">K5*12/E5</f>
        <v>0</v>
      </c>
    </row>
    <row r="6" customFormat="false" ht="15" hidden="false" customHeight="true" outlineLevel="0" collapsed="false">
      <c r="A6" s="13" t="n">
        <v>1</v>
      </c>
      <c r="B6" s="18" t="n">
        <f aca="false">B5+G5+H5+I5</f>
        <v>22780587500000</v>
      </c>
      <c r="C6" s="18" t="n">
        <f aca="false">C5*(1+Inputs!B11)*(1+Inputs!B13)</f>
        <v>31314000000000</v>
      </c>
      <c r="D6" s="17" t="n">
        <f aca="false">D5*(1+Inputs!B12)</f>
        <v>343710000</v>
      </c>
      <c r="E6" s="16" t="n">
        <f aca="false">E5*(1+Inputs!B13)</f>
        <v>1</v>
      </c>
      <c r="F6" s="17" t="n">
        <f aca="false">MAX(0,D6*Inputs!B12)</f>
        <v>1718550</v>
      </c>
      <c r="G6" s="18" t="n">
        <f aca="false">Inputs!B6*(C6/D6)*F6</f>
        <v>3914250000</v>
      </c>
      <c r="H6" s="18" t="n">
        <f aca="false">Inputs!B7*C6*Inputs!B11</f>
        <v>78285000000</v>
      </c>
      <c r="I6" s="18" t="n">
        <f aca="false">Inputs!B8*B6</f>
        <v>0</v>
      </c>
      <c r="J6" s="18" t="n">
        <f aca="false">IF(D6&gt;0,H6/D6,0)</f>
        <v>227.764685345204</v>
      </c>
      <c r="K6" s="19" t="n">
        <f aca="false">IF(D6&gt;0,I6/D6/12,0)</f>
        <v>0</v>
      </c>
      <c r="L6" s="18" t="n">
        <f aca="false">(L5+J6)*(1+Inputs!B14)</f>
        <v>3042.48008068212</v>
      </c>
      <c r="M6" s="18" t="n">
        <f aca="false">L6/E6</f>
        <v>3042.48008068212</v>
      </c>
      <c r="N6" s="18" t="n">
        <f aca="false">N5+K6*12/E6</f>
        <v>0</v>
      </c>
    </row>
    <row r="7" customFormat="false" ht="15" hidden="false" customHeight="true" outlineLevel="0" collapsed="false">
      <c r="A7" s="13" t="n">
        <v>2</v>
      </c>
      <c r="B7" s="18" t="n">
        <f aca="false">B6+G6+H6+I6</f>
        <v>22862786750000</v>
      </c>
      <c r="C7" s="18" t="n">
        <f aca="false">C6*(1+Inputs!B11)*(1+Inputs!B13)</f>
        <v>31940280000000</v>
      </c>
      <c r="D7" s="17" t="n">
        <f aca="false">D6*(1+Inputs!B12)</f>
        <v>345428550</v>
      </c>
      <c r="E7" s="16" t="n">
        <f aca="false">E6*(1+Inputs!B13)</f>
        <v>1</v>
      </c>
      <c r="F7" s="17" t="n">
        <f aca="false">MAX(0,D7*Inputs!B12)</f>
        <v>1727142.75</v>
      </c>
      <c r="G7" s="18" t="n">
        <f aca="false">Inputs!B6*(C7/D7)*F7</f>
        <v>3992535000</v>
      </c>
      <c r="H7" s="18" t="n">
        <f aca="false">Inputs!B7*C7*Inputs!B11</f>
        <v>79850700000</v>
      </c>
      <c r="I7" s="18" t="n">
        <f aca="false">Inputs!B8*B7</f>
        <v>0</v>
      </c>
      <c r="J7" s="18" t="n">
        <f aca="false">IF(D7&gt;0,H7/D7,0)</f>
        <v>231.164158260804</v>
      </c>
      <c r="K7" s="19" t="n">
        <f aca="false">IF(D7&gt;0,I7/D7/12,0)</f>
        <v>0</v>
      </c>
      <c r="L7" s="18" t="n">
        <f aca="false">(L6+J7)*(1+Inputs!B14)</f>
        <v>3486.43111447421</v>
      </c>
      <c r="M7" s="18" t="n">
        <f aca="false">L7/E7</f>
        <v>3486.43111447421</v>
      </c>
      <c r="N7" s="18" t="n">
        <f aca="false">N6+K7*12/E7</f>
        <v>0</v>
      </c>
    </row>
    <row r="8" customFormat="false" ht="15" hidden="false" customHeight="true" outlineLevel="0" collapsed="false">
      <c r="A8" s="13" t="n">
        <v>3</v>
      </c>
      <c r="B8" s="18" t="n">
        <f aca="false">B7+G7+H7+I7</f>
        <v>22946629985000</v>
      </c>
      <c r="C8" s="18" t="n">
        <f aca="false">C7*(1+Inputs!B11)*(1+Inputs!B13)</f>
        <v>32579085600000</v>
      </c>
      <c r="D8" s="17" t="n">
        <f aca="false">D7*(1+Inputs!B12)</f>
        <v>347155692.75</v>
      </c>
      <c r="E8" s="16" t="n">
        <f aca="false">E7*(1+Inputs!B13)</f>
        <v>1</v>
      </c>
      <c r="F8" s="17" t="n">
        <f aca="false">MAX(0,D8*Inputs!B12)</f>
        <v>1735778.46375</v>
      </c>
      <c r="G8" s="18" t="n">
        <f aca="false">Inputs!B6*(C8/D8)*F8</f>
        <v>4072385700</v>
      </c>
      <c r="H8" s="18" t="n">
        <f aca="false">Inputs!B7*C8*Inputs!B11</f>
        <v>81447714000</v>
      </c>
      <c r="I8" s="18" t="n">
        <f aca="false">Inputs!B8*B8</f>
        <v>0</v>
      </c>
      <c r="J8" s="18" t="n">
        <f aca="false">IF(D8&gt;0,H8/D8,0)</f>
        <v>234.614369578129</v>
      </c>
      <c r="K8" s="19" t="n">
        <f aca="false">IF(D8&gt;0,I8/D8/12,0)</f>
        <v>0</v>
      </c>
      <c r="L8" s="18" t="n">
        <f aca="false">(L7+J8)*(1+Inputs!B14)</f>
        <v>3962.91344051574</v>
      </c>
      <c r="M8" s="18" t="n">
        <f aca="false">L8/E8</f>
        <v>3962.91344051574</v>
      </c>
      <c r="N8" s="18" t="n">
        <f aca="false">N7+K8*12/E8</f>
        <v>0</v>
      </c>
    </row>
    <row r="9" customFormat="false" ht="15" hidden="false" customHeight="true" outlineLevel="0" collapsed="false">
      <c r="A9" s="13" t="n">
        <v>4</v>
      </c>
      <c r="B9" s="18" t="n">
        <f aca="false">B8+G8+H8+I8</f>
        <v>23032150084700</v>
      </c>
      <c r="C9" s="18" t="n">
        <f aca="false">C8*(1+Inputs!B11)*(1+Inputs!B13)</f>
        <v>33230667312000</v>
      </c>
      <c r="D9" s="17" t="n">
        <f aca="false">D8*(1+Inputs!B12)</f>
        <v>348891471.21375</v>
      </c>
      <c r="E9" s="16" t="n">
        <f aca="false">E8*(1+Inputs!B13)</f>
        <v>1</v>
      </c>
      <c r="F9" s="17" t="n">
        <f aca="false">MAX(0,D9*Inputs!B12)</f>
        <v>1744457.35606875</v>
      </c>
      <c r="G9" s="18" t="n">
        <f aca="false">Inputs!B6*(C9/D9)*F9</f>
        <v>4153833414</v>
      </c>
      <c r="H9" s="18" t="n">
        <f aca="false">Inputs!B7*C9*Inputs!B11</f>
        <v>83076668280</v>
      </c>
      <c r="I9" s="18" t="n">
        <f aca="false">Inputs!B8*B9</f>
        <v>0</v>
      </c>
      <c r="J9" s="18" t="n">
        <f aca="false">IF(D9&gt;0,H9/D9,0)</f>
        <v>238.116076586758</v>
      </c>
      <c r="K9" s="19" t="n">
        <f aca="false">IF(D9&gt;0,I9/D9/12,0)</f>
        <v>0</v>
      </c>
      <c r="L9" s="18" t="n">
        <f aca="false">(L8+J9)*(1+Inputs!B14)</f>
        <v>4474.09643571416</v>
      </c>
      <c r="M9" s="18" t="n">
        <f aca="false">L9/E9</f>
        <v>4474.09643571416</v>
      </c>
      <c r="N9" s="18" t="n">
        <f aca="false">N8+K9*12/E9</f>
        <v>0</v>
      </c>
    </row>
    <row r="10" customFormat="false" ht="15" hidden="false" customHeight="true" outlineLevel="0" collapsed="false">
      <c r="A10" s="13" t="n">
        <v>5</v>
      </c>
      <c r="B10" s="18" t="n">
        <f aca="false">B9+G9+H9+I9</f>
        <v>23119380586394</v>
      </c>
      <c r="C10" s="18" t="n">
        <f aca="false">C9*(1+Inputs!B11)*(1+Inputs!B13)</f>
        <v>33895280658240</v>
      </c>
      <c r="D10" s="17" t="n">
        <f aca="false">D9*(1+Inputs!B12)</f>
        <v>350635928.569819</v>
      </c>
      <c r="E10" s="16" t="n">
        <f aca="false">E9*(1+Inputs!B13)</f>
        <v>1</v>
      </c>
      <c r="F10" s="17" t="n">
        <f aca="false">MAX(0,D10*Inputs!B12)</f>
        <v>1753179.64284909</v>
      </c>
      <c r="G10" s="18" t="n">
        <f aca="false">Inputs!B6*(C10/D10)*F10</f>
        <v>4236910082.28</v>
      </c>
      <c r="H10" s="18" t="n">
        <f aca="false">Inputs!B7*C10*Inputs!B11</f>
        <v>84738201645.6</v>
      </c>
      <c r="I10" s="18" t="n">
        <f aca="false">Inputs!B8*B10</f>
        <v>0</v>
      </c>
      <c r="J10" s="18" t="n">
        <f aca="false">IF(D10&gt;0,H10/D10,0)</f>
        <v>241.670047879098</v>
      </c>
      <c r="K10" s="19" t="n">
        <f aca="false">IF(D10&gt;0,I10/D10/12,0)</f>
        <v>0</v>
      </c>
      <c r="L10" s="18" t="n">
        <f aca="false">(L9+J10)*(1+Inputs!B14)</f>
        <v>5022.29130502682</v>
      </c>
      <c r="M10" s="18" t="n">
        <f aca="false">L10/E10</f>
        <v>5022.29130502682</v>
      </c>
      <c r="N10" s="18" t="n">
        <f aca="false">N9+K10*12/E10</f>
        <v>0</v>
      </c>
    </row>
    <row r="11" customFormat="false" ht="15" hidden="false" customHeight="true" outlineLevel="0" collapsed="false">
      <c r="A11" s="13" t="n">
        <v>6</v>
      </c>
      <c r="B11" s="18" t="n">
        <f aca="false">B10+G10+H10+I10</f>
        <v>23208355698121.9</v>
      </c>
      <c r="C11" s="18" t="n">
        <f aca="false">C10*(1+Inputs!B11)*(1+Inputs!B13)</f>
        <v>34573186271404.8</v>
      </c>
      <c r="D11" s="17" t="n">
        <f aca="false">D10*(1+Inputs!B12)</f>
        <v>352389108.212668</v>
      </c>
      <c r="E11" s="16" t="n">
        <f aca="false">E10*(1+Inputs!B13)</f>
        <v>1</v>
      </c>
      <c r="F11" s="17" t="n">
        <f aca="false">MAX(0,D11*Inputs!B12)</f>
        <v>1761945.54106334</v>
      </c>
      <c r="G11" s="18" t="n">
        <f aca="false">Inputs!B6*(C11/D11)*F11</f>
        <v>4321648283.9256</v>
      </c>
      <c r="H11" s="18" t="n">
        <f aca="false">Inputs!B7*C11*Inputs!B11</f>
        <v>86432965678.512</v>
      </c>
      <c r="I11" s="18" t="n">
        <f aca="false">Inputs!B8*B11</f>
        <v>0</v>
      </c>
      <c r="J11" s="18" t="n">
        <f aca="false">IF(D11&gt;0,H11/D11,0)</f>
        <v>245.277063519085</v>
      </c>
      <c r="K11" s="19" t="n">
        <f aca="false">IF(D11&gt;0,I11/D11/12,0)</f>
        <v>0</v>
      </c>
      <c r="L11" s="18" t="n">
        <f aca="false">(L10+J11)*(1+Inputs!B14)</f>
        <v>5609.96031250139</v>
      </c>
      <c r="M11" s="18" t="n">
        <f aca="false">L11/E11</f>
        <v>5609.96031250139</v>
      </c>
      <c r="N11" s="18" t="n">
        <f aca="false">N10+K11*12/E11</f>
        <v>0</v>
      </c>
    </row>
    <row r="12" customFormat="false" ht="15" hidden="false" customHeight="true" outlineLevel="0" collapsed="false">
      <c r="A12" s="13" t="n">
        <v>7</v>
      </c>
      <c r="B12" s="18" t="n">
        <f aca="false">B11+G11+H11+I11</f>
        <v>23299110312084.3</v>
      </c>
      <c r="C12" s="18" t="n">
        <f aca="false">C11*(1+Inputs!B11)*(1+Inputs!B13)</f>
        <v>35264649996832.9</v>
      </c>
      <c r="D12" s="17" t="n">
        <f aca="false">D11*(1+Inputs!B12)</f>
        <v>354151053.753731</v>
      </c>
      <c r="E12" s="16" t="n">
        <f aca="false">E11*(1+Inputs!B13)</f>
        <v>1</v>
      </c>
      <c r="F12" s="17" t="n">
        <f aca="false">MAX(0,D12*Inputs!B12)</f>
        <v>1770755.26876865</v>
      </c>
      <c r="G12" s="18" t="n">
        <f aca="false">Inputs!B6*(C12/D12)*F12</f>
        <v>4408081249.60411</v>
      </c>
      <c r="H12" s="18" t="n">
        <f aca="false">Inputs!B7*C12*Inputs!B11</f>
        <v>88161624992.0822</v>
      </c>
      <c r="I12" s="18" t="n">
        <f aca="false">Inputs!B8*B12</f>
        <v>0</v>
      </c>
      <c r="J12" s="18" t="n">
        <f aca="false">IF(D12&gt;0,H12/D12,0)</f>
        <v>248.937915213399</v>
      </c>
      <c r="K12" s="19" t="n">
        <f aca="false">IF(D12&gt;0,I12/D12/12,0)</f>
        <v>0</v>
      </c>
      <c r="L12" s="18" t="n">
        <f aca="false">(L11+J12)*(1+Inputs!B14)</f>
        <v>6239.72661251625</v>
      </c>
      <c r="M12" s="18" t="n">
        <f aca="false">L12/E12</f>
        <v>6239.72661251625</v>
      </c>
      <c r="N12" s="18" t="n">
        <f aca="false">N11+K12*12/E12</f>
        <v>0</v>
      </c>
    </row>
    <row r="13" customFormat="false" ht="15" hidden="false" customHeight="true" outlineLevel="0" collapsed="false">
      <c r="A13" s="13" t="n">
        <v>8</v>
      </c>
      <c r="B13" s="18" t="n">
        <f aca="false">B12+G12+H12+I12</f>
        <v>23391680018326</v>
      </c>
      <c r="C13" s="18" t="n">
        <f aca="false">C12*(1+Inputs!B11)*(1+Inputs!B13)</f>
        <v>35969942996769.6</v>
      </c>
      <c r="D13" s="17" t="n">
        <f aca="false">D12*(1+Inputs!B12)</f>
        <v>355921809.022499</v>
      </c>
      <c r="E13" s="16" t="n">
        <f aca="false">E12*(1+Inputs!B13)</f>
        <v>1</v>
      </c>
      <c r="F13" s="17" t="n">
        <f aca="false">MAX(0,D13*Inputs!B12)</f>
        <v>1779609.0451125</v>
      </c>
      <c r="G13" s="18" t="n">
        <f aca="false">Inputs!B6*(C13/D13)*F13</f>
        <v>4496242874.59619</v>
      </c>
      <c r="H13" s="18" t="n">
        <f aca="false">Inputs!B7*C13*Inputs!B11</f>
        <v>89924857491.9239</v>
      </c>
      <c r="I13" s="18" t="n">
        <f aca="false">Inputs!B8*B13</f>
        <v>0</v>
      </c>
      <c r="J13" s="18" t="n">
        <f aca="false">IF(D13&gt;0,H13/D13,0)</f>
        <v>252.653406485241</v>
      </c>
      <c r="K13" s="19" t="n">
        <f aca="false">IF(D13&gt;0,I13/D13/12,0)</f>
        <v>0</v>
      </c>
      <c r="L13" s="18" t="n">
        <f aca="false">(L12+J13)*(1+Inputs!B14)</f>
        <v>6914.38472023659</v>
      </c>
      <c r="M13" s="18" t="n">
        <f aca="false">L13/E13</f>
        <v>6914.38472023659</v>
      </c>
      <c r="N13" s="18" t="n">
        <f aca="false">N12+K13*12/E13</f>
        <v>0</v>
      </c>
    </row>
    <row r="14" customFormat="false" ht="15" hidden="false" customHeight="true" outlineLevel="0" collapsed="false">
      <c r="A14" s="13" t="n">
        <v>9</v>
      </c>
      <c r="B14" s="18" t="n">
        <f aca="false">B13+G13+H13+I13</f>
        <v>23486101118692.5</v>
      </c>
      <c r="C14" s="18" t="n">
        <f aca="false">C13*(1+Inputs!B11)*(1+Inputs!B13)</f>
        <v>36689341856704.9</v>
      </c>
      <c r="D14" s="17" t="n">
        <f aca="false">D13*(1+Inputs!B12)</f>
        <v>357701418.067612</v>
      </c>
      <c r="E14" s="16" t="n">
        <f aca="false">E13*(1+Inputs!B13)</f>
        <v>1</v>
      </c>
      <c r="F14" s="17" t="n">
        <f aca="false">MAX(0,D14*Inputs!B12)</f>
        <v>1788507.09033806</v>
      </c>
      <c r="G14" s="18" t="n">
        <f aca="false">Inputs!B6*(C14/D14)*F14</f>
        <v>4586167732.08812</v>
      </c>
      <c r="H14" s="18" t="n">
        <f aca="false">Inputs!B7*C14*Inputs!B11</f>
        <v>91723354641.7624</v>
      </c>
      <c r="I14" s="18" t="n">
        <f aca="false">Inputs!B8*B14</f>
        <v>0</v>
      </c>
      <c r="J14" s="18" t="n">
        <f aca="false">IF(D14&gt;0,H14/D14,0)</f>
        <v>256.424352850692</v>
      </c>
      <c r="K14" s="19" t="n">
        <f aca="false">IF(D14&gt;0,I14/D14/12,0)</f>
        <v>0</v>
      </c>
      <c r="L14" s="18" t="n">
        <f aca="false">(L13+J14)*(1+Inputs!B14)</f>
        <v>7636.91166283795</v>
      </c>
      <c r="M14" s="18" t="n">
        <f aca="false">L14/E14</f>
        <v>7636.91166283795</v>
      </c>
      <c r="N14" s="18" t="n">
        <f aca="false">N13+K14*12/E14</f>
        <v>0</v>
      </c>
    </row>
    <row r="15" customFormat="false" ht="15" hidden="false" customHeight="true" outlineLevel="0" collapsed="false">
      <c r="A15" s="13" t="n">
        <v>10</v>
      </c>
      <c r="B15" s="18" t="n">
        <f aca="false">B14+G14+H14+I14</f>
        <v>23582410641066.4</v>
      </c>
      <c r="C15" s="18" t="n">
        <f aca="false">C14*(1+Inputs!B11)*(1+Inputs!B13)</f>
        <v>37423128693839.1</v>
      </c>
      <c r="D15" s="17" t="n">
        <f aca="false">D14*(1+Inputs!B12)</f>
        <v>359489925.15795</v>
      </c>
      <c r="E15" s="16" t="n">
        <f aca="false">E14*(1+Inputs!B13)</f>
        <v>1</v>
      </c>
      <c r="F15" s="17" t="n">
        <f aca="false">MAX(0,D15*Inputs!B12)</f>
        <v>1797449.62578975</v>
      </c>
      <c r="G15" s="18" t="n">
        <f aca="false">Inputs!B6*(C15/D15)*F15</f>
        <v>4677891086.72988</v>
      </c>
      <c r="H15" s="18" t="n">
        <f aca="false">Inputs!B7*C15*Inputs!B11</f>
        <v>93557821734.5976</v>
      </c>
      <c r="I15" s="18" t="n">
        <f aca="false">Inputs!B8*B15</f>
        <v>0</v>
      </c>
      <c r="J15" s="18" t="n">
        <f aca="false">IF(D15&gt;0,H15/D15,0)</f>
        <v>260.251581997718</v>
      </c>
      <c r="K15" s="19" t="n">
        <f aca="false">IF(D15&gt;0,I15/D15/12,0)</f>
        <v>0</v>
      </c>
      <c r="L15" s="18" t="n">
        <f aca="false">(L14+J15)*(1+Inputs!B14)</f>
        <v>8410.47885574999</v>
      </c>
      <c r="M15" s="18" t="n">
        <f aca="false">L15/E15</f>
        <v>8410.47885574999</v>
      </c>
      <c r="N15" s="18" t="n">
        <f aca="false">N14+K15*12/E15</f>
        <v>0</v>
      </c>
    </row>
    <row r="16" customFormat="false" ht="15" hidden="false" customHeight="true" outlineLevel="0" collapsed="false">
      <c r="A16" s="13" t="n">
        <v>11</v>
      </c>
      <c r="B16" s="18" t="n">
        <f aca="false">B15+G15+H15+I15</f>
        <v>23680646353887.7</v>
      </c>
      <c r="C16" s="18" t="n">
        <f aca="false">C15*(1+Inputs!B11)*(1+Inputs!B13)</f>
        <v>38171591267715.8</v>
      </c>
      <c r="D16" s="17" t="n">
        <f aca="false">D15*(1+Inputs!B12)</f>
        <v>361287374.78374</v>
      </c>
      <c r="E16" s="16" t="n">
        <f aca="false">E15*(1+Inputs!B13)</f>
        <v>1</v>
      </c>
      <c r="F16" s="17" t="n">
        <f aca="false">MAX(0,D16*Inputs!B12)</f>
        <v>1806436.8739187</v>
      </c>
      <c r="G16" s="18" t="n">
        <f aca="false">Inputs!B6*(C16/D16)*F16</f>
        <v>4771448908.46448</v>
      </c>
      <c r="H16" s="18" t="n">
        <f aca="false">Inputs!B7*C16*Inputs!B11</f>
        <v>95428978169.2896</v>
      </c>
      <c r="I16" s="18" t="n">
        <f aca="false">Inputs!B8*B16</f>
        <v>0</v>
      </c>
      <c r="J16" s="18" t="n">
        <f aca="false">IF(D16&gt;0,H16/D16,0)</f>
        <v>264.135933967833</v>
      </c>
      <c r="K16" s="19" t="n">
        <f aca="false">IF(D16&gt;0,I16/D16/12,0)</f>
        <v>0</v>
      </c>
      <c r="L16" s="18" t="n">
        <f aca="false">(L15+J16)*(1+Inputs!B14)</f>
        <v>9238.46475104948</v>
      </c>
      <c r="M16" s="18" t="n">
        <f aca="false">L16/E16</f>
        <v>9238.46475104948</v>
      </c>
      <c r="N16" s="18" t="n">
        <f aca="false">N15+K16*12/E16</f>
        <v>0</v>
      </c>
    </row>
    <row r="17" customFormat="false" ht="15" hidden="false" customHeight="true" outlineLevel="0" collapsed="false">
      <c r="A17" s="13" t="n">
        <v>12</v>
      </c>
      <c r="B17" s="18" t="n">
        <f aca="false">B16+G16+H16+I16</f>
        <v>23780846780965.5</v>
      </c>
      <c r="C17" s="18" t="n">
        <f aca="false">C16*(1+Inputs!B11)*(1+Inputs!B13)</f>
        <v>38935023093070.2</v>
      </c>
      <c r="D17" s="17" t="n">
        <f aca="false">D16*(1+Inputs!B12)</f>
        <v>363093811.657658</v>
      </c>
      <c r="E17" s="16" t="n">
        <f aca="false">E16*(1+Inputs!B13)</f>
        <v>1</v>
      </c>
      <c r="F17" s="17" t="n">
        <f aca="false">MAX(0,D17*Inputs!B12)</f>
        <v>1815469.05828829</v>
      </c>
      <c r="G17" s="18" t="n">
        <f aca="false">Inputs!B6*(C17/D17)*F17</f>
        <v>4866877886.63377</v>
      </c>
      <c r="H17" s="18" t="n">
        <f aca="false">Inputs!B7*C17*Inputs!B11</f>
        <v>97337557732.6754</v>
      </c>
      <c r="I17" s="18" t="n">
        <f aca="false">Inputs!B8*B17</f>
        <v>0</v>
      </c>
      <c r="J17" s="18" t="n">
        <f aca="false">IF(D17&gt;0,H17/D17,0)</f>
        <v>268.078261340487</v>
      </c>
      <c r="K17" s="19" t="n">
        <f aca="false">IF(D17&gt;0,I17/D17/12,0)</f>
        <v>0</v>
      </c>
      <c r="L17" s="18" t="n">
        <f aca="false">(L16+J17)*(1+Inputs!B14)</f>
        <v>10124.4683081953</v>
      </c>
      <c r="M17" s="18" t="n">
        <f aca="false">L17/E17</f>
        <v>10124.4683081953</v>
      </c>
      <c r="N17" s="18" t="n">
        <f aca="false">N16+K17*12/E17</f>
        <v>0</v>
      </c>
    </row>
    <row r="18" customFormat="false" ht="15" hidden="false" customHeight="true" outlineLevel="0" collapsed="false">
      <c r="A18" s="13" t="n">
        <v>13</v>
      </c>
      <c r="B18" s="18" t="n">
        <f aca="false">B17+G17+H17+I17</f>
        <v>23883051216584.8</v>
      </c>
      <c r="C18" s="18" t="n">
        <f aca="false">C17*(1+Inputs!B11)*(1+Inputs!B13)</f>
        <v>39713723554931.6</v>
      </c>
      <c r="D18" s="17" t="n">
        <f aca="false">D17*(1+Inputs!B12)</f>
        <v>364909280.715947</v>
      </c>
      <c r="E18" s="16" t="n">
        <f aca="false">E17*(1+Inputs!B13)</f>
        <v>1</v>
      </c>
      <c r="F18" s="17" t="n">
        <f aca="false">MAX(0,D18*Inputs!B12)</f>
        <v>1824546.40357973</v>
      </c>
      <c r="G18" s="18" t="n">
        <f aca="false">Inputs!B6*(C18/D18)*F18</f>
        <v>4964215444.36645</v>
      </c>
      <c r="H18" s="18" t="n">
        <f aca="false">Inputs!B7*C18*Inputs!B11</f>
        <v>99284308887.3289</v>
      </c>
      <c r="I18" s="18" t="n">
        <f aca="false">Inputs!B8*B18</f>
        <v>0</v>
      </c>
      <c r="J18" s="18" t="n">
        <f aca="false">IF(D18&gt;0,H18/D18,0)</f>
        <v>272.079429420196</v>
      </c>
      <c r="K18" s="19" t="n">
        <f aca="false">IF(D18&gt;0,I18/D18/12,0)</f>
        <v>0</v>
      </c>
      <c r="L18" s="18" t="n">
        <f aca="false">(L17+J18)*(1+Inputs!B14)</f>
        <v>11072.3233405605</v>
      </c>
      <c r="M18" s="18" t="n">
        <f aca="false">L18/E18</f>
        <v>11072.3233405605</v>
      </c>
      <c r="N18" s="18" t="n">
        <f aca="false">N17+K18*12/E18</f>
        <v>0</v>
      </c>
    </row>
    <row r="19" customFormat="false" ht="15" hidden="false" customHeight="true" outlineLevel="0" collapsed="false">
      <c r="A19" s="13" t="n">
        <v>14</v>
      </c>
      <c r="B19" s="18" t="n">
        <f aca="false">B18+G18+H18+I18</f>
        <v>23987299740916.5</v>
      </c>
      <c r="C19" s="18" t="n">
        <f aca="false">C18*(1+Inputs!B11)*(1+Inputs!B13)</f>
        <v>40507998026030.2</v>
      </c>
      <c r="D19" s="17" t="n">
        <f aca="false">D18*(1+Inputs!B12)</f>
        <v>366733827.119526</v>
      </c>
      <c r="E19" s="16" t="n">
        <f aca="false">E18*(1+Inputs!B13)</f>
        <v>1</v>
      </c>
      <c r="F19" s="17" t="n">
        <f aca="false">MAX(0,D19*Inputs!B12)</f>
        <v>1833669.13559763</v>
      </c>
      <c r="G19" s="18" t="n">
        <f aca="false">Inputs!B6*(C19/D19)*F19</f>
        <v>5063499753.25377</v>
      </c>
      <c r="H19" s="18" t="n">
        <f aca="false">Inputs!B7*C19*Inputs!B11</f>
        <v>101269995065.075</v>
      </c>
      <c r="I19" s="18" t="n">
        <f aca="false">Inputs!B8*B19</f>
        <v>0</v>
      </c>
      <c r="J19" s="18" t="n">
        <f aca="false">IF(D19&gt;0,H19/D19,0)</f>
        <v>276.140316426468</v>
      </c>
      <c r="K19" s="19" t="n">
        <f aca="false">IF(D19&gt;0,I19/D19/12,0)</f>
        <v>0</v>
      </c>
      <c r="L19" s="18" t="n">
        <f aca="false">(L18+J19)*(1+Inputs!B14)</f>
        <v>12086.1137946911</v>
      </c>
      <c r="M19" s="18" t="n">
        <f aca="false">L19/E19</f>
        <v>12086.1137946911</v>
      </c>
      <c r="N19" s="18" t="n">
        <f aca="false">N18+K19*12/E19</f>
        <v>0</v>
      </c>
    </row>
    <row r="20" customFormat="false" ht="15" hidden="false" customHeight="true" outlineLevel="0" collapsed="false">
      <c r="A20" s="13" t="n">
        <v>15</v>
      </c>
      <c r="B20" s="18" t="n">
        <f aca="false">B19+G19+H19+I19</f>
        <v>24093633235734.8</v>
      </c>
      <c r="C20" s="18" t="n">
        <f aca="false">C19*(1+Inputs!B11)*(1+Inputs!B13)</f>
        <v>41318157986550.8</v>
      </c>
      <c r="D20" s="17" t="n">
        <f aca="false">D19*(1+Inputs!B12)</f>
        <v>368567496.255124</v>
      </c>
      <c r="E20" s="16" t="n">
        <f aca="false">E19*(1+Inputs!B13)</f>
        <v>1</v>
      </c>
      <c r="F20" s="17" t="n">
        <f aca="false">MAX(0,D20*Inputs!B12)</f>
        <v>1842837.48127562</v>
      </c>
      <c r="G20" s="18" t="n">
        <f aca="false">Inputs!B6*(C20/D20)*F20</f>
        <v>5164769748.31885</v>
      </c>
      <c r="H20" s="18" t="n">
        <f aca="false">Inputs!B7*C20*Inputs!B11</f>
        <v>103295394966.377</v>
      </c>
      <c r="I20" s="18" t="n">
        <f aca="false">Inputs!B8*B20</f>
        <v>0</v>
      </c>
      <c r="J20" s="18" t="n">
        <f aca="false">IF(D20&gt;0,H20/D20,0)</f>
        <v>280.261813686564</v>
      </c>
      <c r="K20" s="19" t="n">
        <f aca="false">IF(D20&gt;0,I20/D20/12,0)</f>
        <v>0</v>
      </c>
      <c r="L20" s="18" t="n">
        <f aca="false">(L19+J20)*(1+Inputs!B14)</f>
        <v>13170.1900229223</v>
      </c>
      <c r="M20" s="18" t="n">
        <f aca="false">L20/E20</f>
        <v>13170.1900229223</v>
      </c>
      <c r="N20" s="18" t="n">
        <f aca="false">N19+K20*12/E20</f>
        <v>0</v>
      </c>
    </row>
    <row r="21" customFormat="false" ht="15" hidden="false" customHeight="true" outlineLevel="0" collapsed="false">
      <c r="A21" s="13" t="n">
        <v>16</v>
      </c>
      <c r="B21" s="18" t="n">
        <f aca="false">B20+G20+H20+I20</f>
        <v>24202093400449.5</v>
      </c>
      <c r="C21" s="18" t="n">
        <f aca="false">C20*(1+Inputs!B11)*(1+Inputs!B13)</f>
        <v>42144521146281.8</v>
      </c>
      <c r="D21" s="17" t="n">
        <f aca="false">D20*(1+Inputs!B12)</f>
        <v>370410333.736399</v>
      </c>
      <c r="E21" s="16" t="n">
        <f aca="false">E20*(1+Inputs!B13)</f>
        <v>1</v>
      </c>
      <c r="F21" s="17" t="n">
        <f aca="false">MAX(0,D21*Inputs!B12)</f>
        <v>1852051.668682</v>
      </c>
      <c r="G21" s="18" t="n">
        <f aca="false">Inputs!B6*(C21/D21)*F21</f>
        <v>5268065143.28523</v>
      </c>
      <c r="H21" s="18" t="n">
        <f aca="false">Inputs!B7*C21*Inputs!B11</f>
        <v>105361302865.705</v>
      </c>
      <c r="I21" s="18" t="n">
        <f aca="false">Inputs!B8*B21</f>
        <v>0</v>
      </c>
      <c r="J21" s="18" t="n">
        <f aca="false">IF(D21&gt;0,H21/D21,0)</f>
        <v>284.44482583114</v>
      </c>
      <c r="K21" s="19" t="n">
        <f aca="false">IF(D21&gt;0,I21/D21/12,0)</f>
        <v>0</v>
      </c>
      <c r="L21" s="18" t="n">
        <f aca="false">(L20+J21)*(1+Inputs!B14)</f>
        <v>14329.1861139224</v>
      </c>
      <c r="M21" s="18" t="n">
        <f aca="false">L21/E21</f>
        <v>14329.1861139224</v>
      </c>
      <c r="N21" s="18" t="n">
        <f aca="false">N20+K21*12/E21</f>
        <v>0</v>
      </c>
    </row>
    <row r="22" customFormat="false" ht="15" hidden="false" customHeight="true" outlineLevel="0" collapsed="false">
      <c r="A22" s="13" t="n">
        <v>17</v>
      </c>
      <c r="B22" s="18" t="n">
        <f aca="false">B21+G21+H21+I21</f>
        <v>24312722768458.5</v>
      </c>
      <c r="C22" s="18" t="n">
        <f aca="false">C21*(1+Inputs!B11)*(1+Inputs!B13)</f>
        <v>42987411569207.4</v>
      </c>
      <c r="D22" s="17" t="n">
        <f aca="false">D21*(1+Inputs!B12)</f>
        <v>372262385.405081</v>
      </c>
      <c r="E22" s="16" t="n">
        <f aca="false">E21*(1+Inputs!B13)</f>
        <v>1</v>
      </c>
      <c r="F22" s="17" t="n">
        <f aca="false">MAX(0,D22*Inputs!B12)</f>
        <v>1861311.92702541</v>
      </c>
      <c r="G22" s="18" t="n">
        <f aca="false">Inputs!B6*(C22/D22)*F22</f>
        <v>5373426446.15093</v>
      </c>
      <c r="H22" s="18" t="n">
        <f aca="false">Inputs!B7*C22*Inputs!B11</f>
        <v>107468528923.019</v>
      </c>
      <c r="I22" s="18" t="n">
        <f aca="false">Inputs!B8*B22</f>
        <v>0</v>
      </c>
      <c r="J22" s="18" t="n">
        <f aca="false">IF(D22&gt;0,H22/D22,0)</f>
        <v>288.690270992799</v>
      </c>
      <c r="K22" s="19" t="n">
        <f aca="false">IF(D22&gt;0,I22/D22/12,0)</f>
        <v>0</v>
      </c>
      <c r="L22" s="18" t="n">
        <f aca="false">(L21+J22)*(1+Inputs!B14)</f>
        <v>15568.0383499346</v>
      </c>
      <c r="M22" s="18" t="n">
        <f aca="false">L22/E22</f>
        <v>15568.0383499346</v>
      </c>
      <c r="N22" s="18" t="n">
        <f aca="false">N21+K22*12/E22</f>
        <v>0</v>
      </c>
    </row>
    <row r="23" customFormat="false" ht="15" hidden="false" customHeight="true" outlineLevel="0" collapsed="false">
      <c r="A23" s="13" t="n">
        <v>18</v>
      </c>
      <c r="B23" s="18" t="n">
        <f aca="false">B22+G22+H22+I22</f>
        <v>24425564723827.7</v>
      </c>
      <c r="C23" s="18" t="n">
        <f aca="false">C22*(1+Inputs!B11)*(1+Inputs!B13)</f>
        <v>43847159800591.6</v>
      </c>
      <c r="D23" s="17" t="n">
        <f aca="false">D22*(1+Inputs!B12)</f>
        <v>374123697.332107</v>
      </c>
      <c r="E23" s="16" t="n">
        <f aca="false">E22*(1+Inputs!B13)</f>
        <v>1</v>
      </c>
      <c r="F23" s="17" t="n">
        <f aca="false">MAX(0,D23*Inputs!B12)</f>
        <v>1870618.48666053</v>
      </c>
      <c r="G23" s="18" t="n">
        <f aca="false">Inputs!B6*(C23/D23)*F23</f>
        <v>5480894975.07395</v>
      </c>
      <c r="H23" s="18" t="n">
        <f aca="false">Inputs!B7*C23*Inputs!B11</f>
        <v>109617899501.479</v>
      </c>
      <c r="I23" s="18" t="n">
        <f aca="false">Inputs!B8*B23</f>
        <v>0</v>
      </c>
      <c r="J23" s="18" t="n">
        <f aca="false">IF(D23&gt;0,H23/D23,0)</f>
        <v>292.999081007617</v>
      </c>
      <c r="K23" s="19" t="n">
        <f aca="false">IF(D23&gt;0,I23/D23/12,0)</f>
        <v>0</v>
      </c>
      <c r="L23" s="18" t="n">
        <f aca="false">(L22+J23)*(1+Inputs!B14)</f>
        <v>16892.0048639535</v>
      </c>
      <c r="M23" s="18" t="n">
        <f aca="false">L23/E23</f>
        <v>16892.0048639535</v>
      </c>
      <c r="N23" s="18" t="n">
        <f aca="false">N22+K23*12/E23</f>
        <v>0</v>
      </c>
    </row>
    <row r="24" customFormat="false" ht="15" hidden="false" customHeight="true" outlineLevel="0" collapsed="false">
      <c r="A24" s="13" t="n">
        <v>19</v>
      </c>
      <c r="B24" s="18" t="n">
        <f aca="false">B23+G23+H23+I23</f>
        <v>24540663518304.2</v>
      </c>
      <c r="C24" s="18" t="n">
        <f aca="false">C23*(1+Inputs!B11)*(1+Inputs!B13)</f>
        <v>44724102996603.4</v>
      </c>
      <c r="D24" s="17" t="n">
        <f aca="false">D23*(1+Inputs!B12)</f>
        <v>375994315.818767</v>
      </c>
      <c r="E24" s="16" t="n">
        <f aca="false">E23*(1+Inputs!B13)</f>
        <v>1</v>
      </c>
      <c r="F24" s="17" t="n">
        <f aca="false">MAX(0,D24*Inputs!B12)</f>
        <v>1879971.57909384</v>
      </c>
      <c r="G24" s="18" t="n">
        <f aca="false">Inputs!B6*(C24/D24)*F24</f>
        <v>5590512874.57543</v>
      </c>
      <c r="H24" s="18" t="n">
        <f aca="false">Inputs!B7*C24*Inputs!B11</f>
        <v>111810257491.509</v>
      </c>
      <c r="I24" s="18" t="n">
        <f aca="false">Inputs!B8*B24</f>
        <v>0</v>
      </c>
      <c r="J24" s="18" t="n">
        <f aca="false">IF(D24&gt;0,H24/D24,0)</f>
        <v>297.372201619671</v>
      </c>
      <c r="K24" s="19" t="n">
        <f aca="false">IF(D24&gt;0,I24/D24/12,0)</f>
        <v>0</v>
      </c>
      <c r="L24" s="18" t="n">
        <f aca="false">(L23+J24)*(1+Inputs!B14)</f>
        <v>18306.6865748354</v>
      </c>
      <c r="M24" s="18" t="n">
        <f aca="false">L24/E24</f>
        <v>18306.6865748354</v>
      </c>
      <c r="N24" s="18" t="n">
        <f aca="false">N23+K24*12/E24</f>
        <v>0</v>
      </c>
    </row>
    <row r="25" customFormat="false" ht="15" hidden="false" customHeight="true" outlineLevel="0" collapsed="false">
      <c r="A25" s="13" t="n">
        <v>20</v>
      </c>
      <c r="B25" s="18" t="n">
        <f aca="false">B24+G24+H24+I24</f>
        <v>24658064288670.3</v>
      </c>
      <c r="C25" s="18" t="n">
        <f aca="false">C24*(1+Inputs!B11)*(1+Inputs!B13)</f>
        <v>45618585056535.5</v>
      </c>
      <c r="D25" s="17" t="n">
        <f aca="false">D24*(1+Inputs!B12)</f>
        <v>377874287.397861</v>
      </c>
      <c r="E25" s="16" t="n">
        <f aca="false">E24*(1+Inputs!B13)</f>
        <v>1</v>
      </c>
      <c r="F25" s="17" t="n">
        <f aca="false">MAX(0,D25*Inputs!B12)</f>
        <v>1889371.43698931</v>
      </c>
      <c r="G25" s="18" t="n">
        <f aca="false">Inputs!B6*(C25/D25)*F25</f>
        <v>5702323132.06694</v>
      </c>
      <c r="H25" s="18" t="n">
        <f aca="false">Inputs!B7*C25*Inputs!B11</f>
        <v>114046462641.339</v>
      </c>
      <c r="I25" s="18" t="n">
        <f aca="false">Inputs!B8*B25</f>
        <v>0</v>
      </c>
      <c r="J25" s="18" t="n">
        <f aca="false">IF(D25&gt;0,H25/D25,0)</f>
        <v>301.810592688621</v>
      </c>
      <c r="K25" s="19" t="n">
        <f aca="false">IF(D25&gt;0,I25/D25/12,0)</f>
        <v>0</v>
      </c>
      <c r="L25" s="18" t="n">
        <f aca="false">(L24+J25)*(1+Inputs!B14)</f>
        <v>19818.0494834131</v>
      </c>
      <c r="M25" s="18" t="n">
        <f aca="false">L25/E25</f>
        <v>19818.0494834131</v>
      </c>
      <c r="N25" s="18" t="n">
        <f aca="false">N24+K25*12/E25</f>
        <v>0</v>
      </c>
    </row>
    <row r="26" customFormat="false" ht="15" hidden="false" customHeight="true" outlineLevel="0" collapsed="false">
      <c r="A26" s="13" t="n">
        <v>21</v>
      </c>
      <c r="B26" s="18" t="n">
        <f aca="false">B25+G25+H25+I25</f>
        <v>24777813074443.7</v>
      </c>
      <c r="C26" s="18" t="n">
        <f aca="false">C25*(1+Inputs!B11)*(1+Inputs!B13)</f>
        <v>46530956757666.2</v>
      </c>
      <c r="D26" s="17" t="n">
        <f aca="false">D25*(1+Inputs!B12)</f>
        <v>379763658.83485</v>
      </c>
      <c r="E26" s="16" t="n">
        <f aca="false">E25*(1+Inputs!B13)</f>
        <v>1</v>
      </c>
      <c r="F26" s="17" t="n">
        <f aca="false">MAX(0,D26*Inputs!B12)</f>
        <v>1898818.29417425</v>
      </c>
      <c r="G26" s="18" t="n">
        <f aca="false">Inputs!B6*(C26/D26)*F26</f>
        <v>5816369594.70828</v>
      </c>
      <c r="H26" s="18" t="n">
        <f aca="false">Inputs!B7*C26*Inputs!B11</f>
        <v>116327391894.166</v>
      </c>
      <c r="I26" s="18" t="n">
        <f aca="false">Inputs!B8*B26</f>
        <v>0</v>
      </c>
      <c r="J26" s="18" t="n">
        <f aca="false">IF(D26&gt;0,H26/D26,0)</f>
        <v>306.315228400392</v>
      </c>
      <c r="K26" s="19" t="n">
        <f aca="false">IF(D26&gt;0,I26/D26/12,0)</f>
        <v>0</v>
      </c>
      <c r="L26" s="18" t="n">
        <f aca="false">(L25+J26)*(1+Inputs!B14)</f>
        <v>21432.4484180814</v>
      </c>
      <c r="M26" s="18" t="n">
        <f aca="false">L26/E26</f>
        <v>21432.4484180814</v>
      </c>
      <c r="N26" s="18" t="n">
        <f aca="false">N25+K26*12/E26</f>
        <v>0</v>
      </c>
    </row>
    <row r="27" customFormat="false" ht="15" hidden="false" customHeight="true" outlineLevel="0" collapsed="false">
      <c r="A27" s="13" t="n">
        <v>22</v>
      </c>
      <c r="B27" s="18" t="n">
        <f aca="false">B26+G26+H26+I26</f>
        <v>24899956835932.6</v>
      </c>
      <c r="C27" s="18" t="n">
        <f aca="false">C26*(1+Inputs!B11)*(1+Inputs!B13)</f>
        <v>47461575892819.5</v>
      </c>
      <c r="D27" s="17" t="n">
        <f aca="false">D26*(1+Inputs!B12)</f>
        <v>381662477.129024</v>
      </c>
      <c r="E27" s="16" t="n">
        <f aca="false">E26*(1+Inputs!B13)</f>
        <v>1</v>
      </c>
      <c r="F27" s="17" t="n">
        <f aca="false">MAX(0,D27*Inputs!B12)</f>
        <v>1908312.38564512</v>
      </c>
      <c r="G27" s="18" t="n">
        <f aca="false">Inputs!B6*(C27/D27)*F27</f>
        <v>5932696986.60244</v>
      </c>
      <c r="H27" s="18" t="n">
        <f aca="false">Inputs!B7*C27*Inputs!B11</f>
        <v>118653939732.049</v>
      </c>
      <c r="I27" s="18" t="n">
        <f aca="false">Inputs!B8*B27</f>
        <v>0</v>
      </c>
      <c r="J27" s="18" t="n">
        <f aca="false">IF(D27&gt;0,H27/D27,0)</f>
        <v>310.887097480994</v>
      </c>
      <c r="K27" s="19" t="n">
        <f aca="false">IF(D27&gt;0,I27/D27/12,0)</f>
        <v>0</v>
      </c>
      <c r="L27" s="18" t="n">
        <f aca="false">(L26+J27)*(1+Inputs!B14)</f>
        <v>23156.6523240739</v>
      </c>
      <c r="M27" s="18" t="n">
        <f aca="false">L27/E27</f>
        <v>23156.6523240739</v>
      </c>
      <c r="N27" s="18" t="n">
        <f aca="false">N26+K27*12/E27</f>
        <v>0</v>
      </c>
    </row>
    <row r="28" customFormat="false" ht="15" hidden="false" customHeight="true" outlineLevel="0" collapsed="false">
      <c r="A28" s="13" t="n">
        <v>23</v>
      </c>
      <c r="B28" s="18" t="n">
        <f aca="false">B27+G27+H27+I27</f>
        <v>25024543472651.2</v>
      </c>
      <c r="C28" s="18" t="n">
        <f aca="false">C27*(1+Inputs!B11)*(1+Inputs!B13)</f>
        <v>48410807410675.9</v>
      </c>
      <c r="D28" s="17" t="n">
        <f aca="false">D27*(1+Inputs!B12)</f>
        <v>383570789.51467</v>
      </c>
      <c r="E28" s="16" t="n">
        <f aca="false">E27*(1+Inputs!B13)</f>
        <v>1</v>
      </c>
      <c r="F28" s="17" t="n">
        <f aca="false">MAX(0,D28*Inputs!B12)</f>
        <v>1917853.94757335</v>
      </c>
      <c r="G28" s="18" t="n">
        <f aca="false">Inputs!B6*(C28/D28)*F28</f>
        <v>6051350926.33449</v>
      </c>
      <c r="H28" s="18" t="n">
        <f aca="false">Inputs!B7*C28*Inputs!B11</f>
        <v>121027018526.69</v>
      </c>
      <c r="I28" s="18" t="n">
        <f aca="false">Inputs!B8*B28</f>
        <v>0</v>
      </c>
      <c r="J28" s="18" t="n">
        <f aca="false">IF(D28&gt;0,H28/D28,0)</f>
        <v>315.527203413547</v>
      </c>
      <c r="K28" s="19" t="n">
        <f aca="false">IF(D28&gt;0,I28/D28/12,0)</f>
        <v>0</v>
      </c>
      <c r="L28" s="18" t="n">
        <f aca="false">(L27+J28)*(1+Inputs!B14)</f>
        <v>24997.8711967742</v>
      </c>
      <c r="M28" s="18" t="n">
        <f aca="false">L28/E28</f>
        <v>24997.8711967742</v>
      </c>
      <c r="N28" s="18" t="n">
        <f aca="false">N27+K28*12/E28</f>
        <v>0</v>
      </c>
    </row>
    <row r="29" customFormat="false" ht="15" hidden="false" customHeight="true" outlineLevel="0" collapsed="false">
      <c r="A29" s="13" t="n">
        <v>24</v>
      </c>
      <c r="B29" s="18" t="n">
        <f aca="false">B28+G28+H28+I28</f>
        <v>25151621842104.3</v>
      </c>
      <c r="C29" s="18" t="n">
        <f aca="false">C28*(1+Inputs!B11)*(1+Inputs!B13)</f>
        <v>49379023558889.4</v>
      </c>
      <c r="D29" s="17" t="n">
        <f aca="false">D28*(1+Inputs!B12)</f>
        <v>385488643.462243</v>
      </c>
      <c r="E29" s="16" t="n">
        <f aca="false">E28*(1+Inputs!B13)</f>
        <v>1</v>
      </c>
      <c r="F29" s="17" t="n">
        <f aca="false">MAX(0,D29*Inputs!B12)</f>
        <v>1927443.21731121</v>
      </c>
      <c r="G29" s="18" t="n">
        <f aca="false">Inputs!B6*(C29/D29)*F29</f>
        <v>6172377944.86118</v>
      </c>
      <c r="H29" s="18" t="n">
        <f aca="false">Inputs!B7*C29*Inputs!B11</f>
        <v>123447558897.224</v>
      </c>
      <c r="I29" s="18" t="n">
        <f aca="false">Inputs!B8*B29</f>
        <v>0</v>
      </c>
      <c r="J29" s="18" t="n">
        <f aca="false">IF(D29&gt;0,H29/D29,0)</f>
        <v>320.236564658525</v>
      </c>
      <c r="K29" s="19" t="n">
        <f aca="false">IF(D29&gt;0,I29/D29/12,0)</f>
        <v>0</v>
      </c>
      <c r="L29" s="18" t="n">
        <f aca="false">(L28+J29)*(1+Inputs!B14)</f>
        <v>26963.7847659258</v>
      </c>
      <c r="M29" s="18" t="n">
        <f aca="false">L29/E29</f>
        <v>26963.7847659258</v>
      </c>
      <c r="N29" s="18" t="n">
        <f aca="false">N28+K29*12/E29</f>
        <v>0</v>
      </c>
    </row>
    <row r="30" customFormat="false" ht="15" hidden="false" customHeight="true" outlineLevel="0" collapsed="false">
      <c r="A30" s="13" t="n">
        <v>25</v>
      </c>
      <c r="B30" s="18" t="n">
        <f aca="false">B29+G29+H29+I29</f>
        <v>25281241778946.3</v>
      </c>
      <c r="C30" s="18" t="n">
        <f aca="false">C29*(1+Inputs!B11)*(1+Inputs!B13)</f>
        <v>50366604030067.2</v>
      </c>
      <c r="D30" s="17" t="n">
        <f aca="false">D29*(1+Inputs!B12)</f>
        <v>387416086.679554</v>
      </c>
      <c r="E30" s="16" t="n">
        <f aca="false">E29*(1+Inputs!B13)</f>
        <v>1</v>
      </c>
      <c r="F30" s="17" t="n">
        <f aca="false">MAX(0,D30*Inputs!B12)</f>
        <v>1937080.43339777</v>
      </c>
      <c r="G30" s="18" t="n">
        <f aca="false">Inputs!B6*(C30/D30)*F30</f>
        <v>6295825503.7584</v>
      </c>
      <c r="H30" s="18" t="n">
        <f aca="false">Inputs!B7*C30*Inputs!B11</f>
        <v>125916510075.168</v>
      </c>
      <c r="I30" s="18" t="n">
        <f aca="false">Inputs!B8*B30</f>
        <v>0</v>
      </c>
      <c r="J30" s="18" t="n">
        <f aca="false">IF(D30&gt;0,H30/D30,0)</f>
        <v>325.016214877309</v>
      </c>
      <c r="K30" s="19" t="n">
        <f aca="false">IF(D30&gt;0,I30/D30/12,0)</f>
        <v>0</v>
      </c>
      <c r="L30" s="18" t="n">
        <f aca="false">(L29+J30)*(1+Inputs!B14)</f>
        <v>29062.5730445553</v>
      </c>
      <c r="M30" s="18" t="n">
        <f aca="false">L30/E30</f>
        <v>29062.5730445553</v>
      </c>
      <c r="N30" s="18" t="n">
        <f aca="false">N29+K30*12/E30</f>
        <v>0</v>
      </c>
    </row>
    <row r="31" customFormat="false" ht="15" hidden="false" customHeight="true" outlineLevel="0" collapsed="false">
      <c r="A31" s="13" t="n">
        <v>26</v>
      </c>
      <c r="B31" s="18" t="n">
        <f aca="false">B30+G30+H30+I30</f>
        <v>25413454114525.3</v>
      </c>
      <c r="C31" s="18" t="n">
        <f aca="false">C30*(1+Inputs!B11)*(1+Inputs!B13)</f>
        <v>51373936110668.6</v>
      </c>
      <c r="D31" s="17" t="n">
        <f aca="false">D30*(1+Inputs!B12)</f>
        <v>389353167.112952</v>
      </c>
      <c r="E31" s="16" t="n">
        <f aca="false">E30*(1+Inputs!B13)</f>
        <v>1</v>
      </c>
      <c r="F31" s="17" t="n">
        <f aca="false">MAX(0,D31*Inputs!B12)</f>
        <v>1946765.83556476</v>
      </c>
      <c r="G31" s="18" t="n">
        <f aca="false">Inputs!B6*(C31/D31)*F31</f>
        <v>6421742013.83357</v>
      </c>
      <c r="H31" s="18" t="n">
        <f aca="false">Inputs!B7*C31*Inputs!B11</f>
        <v>128434840276.671</v>
      </c>
      <c r="I31" s="18" t="n">
        <f aca="false">Inputs!B8*B31</f>
        <v>0</v>
      </c>
      <c r="J31" s="18" t="n">
        <f aca="false">IF(D31&gt;0,H31/D31,0)</f>
        <v>329.86720315906</v>
      </c>
      <c r="K31" s="19" t="n">
        <f aca="false">IF(D31&gt;0,I31/D31/12,0)</f>
        <v>0</v>
      </c>
      <c r="L31" s="18" t="n">
        <f aca="false">(L30+J31)*(1+Inputs!B14)</f>
        <v>31302.9488638158</v>
      </c>
      <c r="M31" s="18" t="n">
        <f aca="false">L31/E31</f>
        <v>31302.9488638158</v>
      </c>
      <c r="N31" s="18" t="n">
        <f aca="false">N30+K31*12/E31</f>
        <v>0</v>
      </c>
    </row>
    <row r="32" customFormat="false" ht="15" hidden="false" customHeight="true" outlineLevel="0" collapsed="false">
      <c r="A32" s="13" t="n">
        <v>27</v>
      </c>
      <c r="B32" s="18" t="n">
        <f aca="false">B31+G31+H31+I31</f>
        <v>25548310696815.8</v>
      </c>
      <c r="C32" s="18" t="n">
        <f aca="false">C31*(1+Inputs!B11)*(1+Inputs!B13)</f>
        <v>52401414832882</v>
      </c>
      <c r="D32" s="17" t="n">
        <f aca="false">D31*(1+Inputs!B12)</f>
        <v>391299932.948516</v>
      </c>
      <c r="E32" s="16" t="n">
        <f aca="false">E31*(1+Inputs!B13)</f>
        <v>1</v>
      </c>
      <c r="F32" s="17" t="n">
        <f aca="false">MAX(0,D32*Inputs!B12)</f>
        <v>1956499.66474258</v>
      </c>
      <c r="G32" s="18" t="n">
        <f aca="false">Inputs!B6*(C32/D32)*F32</f>
        <v>6550176854.11025</v>
      </c>
      <c r="H32" s="18" t="n">
        <f aca="false">Inputs!B7*C32*Inputs!B11</f>
        <v>131003537082.205</v>
      </c>
      <c r="I32" s="18" t="n">
        <f aca="false">Inputs!B8*B32</f>
        <v>0</v>
      </c>
      <c r="J32" s="18" t="n">
        <f aca="false">IF(D32&gt;0,H32/D32,0)</f>
        <v>334.790594250986</v>
      </c>
      <c r="K32" s="19" t="n">
        <f aca="false">IF(D32&gt;0,I32/D32/12,0)</f>
        <v>0</v>
      </c>
      <c r="L32" s="18" t="n">
        <f aca="false">(L31+J32)*(1+Inputs!B14)</f>
        <v>33694.1925228411</v>
      </c>
      <c r="M32" s="18" t="n">
        <f aca="false">L32/E32</f>
        <v>33694.1925228411</v>
      </c>
      <c r="N32" s="18" t="n">
        <f aca="false">N31+K32*12/E32</f>
        <v>0</v>
      </c>
    </row>
    <row r="33" customFormat="false" ht="15" hidden="false" customHeight="true" outlineLevel="0" collapsed="false">
      <c r="A33" s="13" t="n">
        <v>28</v>
      </c>
      <c r="B33" s="18" t="n">
        <f aca="false">B32+G32+H32+I32</f>
        <v>25685864410752.1</v>
      </c>
      <c r="C33" s="18" t="n">
        <f aca="false">C32*(1+Inputs!B11)*(1+Inputs!B13)</f>
        <v>53449443129539.6</v>
      </c>
      <c r="D33" s="17" t="n">
        <f aca="false">D32*(1+Inputs!B12)</f>
        <v>393256432.613259</v>
      </c>
      <c r="E33" s="16" t="n">
        <f aca="false">E32*(1+Inputs!B13)</f>
        <v>1</v>
      </c>
      <c r="F33" s="17" t="n">
        <f aca="false">MAX(0,D33*Inputs!B12)</f>
        <v>1966282.16306629</v>
      </c>
      <c r="G33" s="18" t="n">
        <f aca="false">Inputs!B6*(C33/D33)*F33</f>
        <v>6681180391.19245</v>
      </c>
      <c r="H33" s="18" t="n">
        <f aca="false">Inputs!B7*C33*Inputs!B11</f>
        <v>133623607823.849</v>
      </c>
      <c r="I33" s="18" t="n">
        <f aca="false">Inputs!B8*B33</f>
        <v>0</v>
      </c>
      <c r="J33" s="18" t="n">
        <f aca="false">IF(D33&gt;0,H33/D33,0)</f>
        <v>339.787468792046</v>
      </c>
      <c r="K33" s="19" t="n">
        <f aca="false">IF(D33&gt;0,I33/D33/12,0)</f>
        <v>0</v>
      </c>
      <c r="L33" s="18" t="n">
        <f aca="false">(L32+J33)*(1+Inputs!B14)</f>
        <v>36246.1886910893</v>
      </c>
      <c r="M33" s="18" t="n">
        <f aca="false">L33/E33</f>
        <v>36246.1886910893</v>
      </c>
      <c r="N33" s="18" t="n">
        <f aca="false">N32+K33*12/E33</f>
        <v>0</v>
      </c>
    </row>
    <row r="34" customFormat="false" ht="15" hidden="false" customHeight="true" outlineLevel="0" collapsed="false">
      <c r="A34" s="13" t="n">
        <v>29</v>
      </c>
      <c r="B34" s="18" t="n">
        <f aca="false">B33+G33+H33+I33</f>
        <v>25826169198967.1</v>
      </c>
      <c r="C34" s="18" t="n">
        <f aca="false">C33*(1+Inputs!B11)*(1+Inputs!B13)</f>
        <v>54518431992130.4</v>
      </c>
      <c r="D34" s="17" t="n">
        <f aca="false">D33*(1+Inputs!B12)</f>
        <v>395222714.776325</v>
      </c>
      <c r="E34" s="16" t="n">
        <f aca="false">E33*(1+Inputs!B13)</f>
        <v>1</v>
      </c>
      <c r="F34" s="17" t="n">
        <f aca="false">MAX(0,D34*Inputs!B12)</f>
        <v>1976113.57388163</v>
      </c>
      <c r="G34" s="18" t="n">
        <f aca="false">Inputs!B6*(C34/D34)*F34</f>
        <v>6814803999.0163</v>
      </c>
      <c r="H34" s="18" t="n">
        <f aca="false">Inputs!B7*C34*Inputs!B11</f>
        <v>136296079980.326</v>
      </c>
      <c r="I34" s="18" t="n">
        <f aca="false">Inputs!B8*B34</f>
        <v>0</v>
      </c>
      <c r="J34" s="18" t="n">
        <f aca="false">IF(D34&gt;0,H34/D34,0)</f>
        <v>344.858923550136</v>
      </c>
      <c r="K34" s="19" t="n">
        <f aca="false">IF(D34&gt;0,I34/D34/12,0)</f>
        <v>0</v>
      </c>
      <c r="L34" s="18" t="n">
        <f aca="false">(L33+J34)*(1+Inputs!B14)</f>
        <v>38969.465709591</v>
      </c>
      <c r="M34" s="18" t="n">
        <f aca="false">L34/E34</f>
        <v>38969.465709591</v>
      </c>
      <c r="N34" s="18" t="n">
        <f aca="false">N33+K34*12/E34</f>
        <v>0</v>
      </c>
    </row>
    <row r="35" customFormat="false" ht="15" hidden="false" customHeight="true" outlineLevel="0" collapsed="false">
      <c r="A35" s="13" t="n">
        <v>30</v>
      </c>
      <c r="B35" s="18" t="n">
        <f aca="false">B34+G34+H34+I34</f>
        <v>25969280082946.5</v>
      </c>
      <c r="C35" s="18" t="n">
        <f aca="false">C34*(1+Inputs!B11)*(1+Inputs!B13)</f>
        <v>55608800631973</v>
      </c>
      <c r="D35" s="17" t="n">
        <f aca="false">D34*(1+Inputs!B12)</f>
        <v>397198828.350207</v>
      </c>
      <c r="E35" s="16" t="n">
        <f aca="false">E34*(1+Inputs!B13)</f>
        <v>1</v>
      </c>
      <c r="F35" s="17" t="n">
        <f aca="false">MAX(0,D35*Inputs!B12)</f>
        <v>1985994.14175103</v>
      </c>
      <c r="G35" s="18" t="n">
        <f aca="false">Inputs!B6*(C35/D35)*F35</f>
        <v>6951100078.99662</v>
      </c>
      <c r="H35" s="18" t="n">
        <f aca="false">Inputs!B7*C35*Inputs!B11</f>
        <v>139022001579.933</v>
      </c>
      <c r="I35" s="18" t="n">
        <f aca="false">Inputs!B8*B35</f>
        <v>0</v>
      </c>
      <c r="J35" s="18" t="n">
        <f aca="false">IF(D35&gt;0,H35/D35,0)</f>
        <v>350.006071662825</v>
      </c>
      <c r="K35" s="19" t="n">
        <f aca="false">IF(D35&gt;0,I35/D35/12,0)</f>
        <v>0</v>
      </c>
      <c r="L35" s="18" t="n">
        <f aca="false">(L34+J35)*(1+Inputs!B14)</f>
        <v>41875.2374470354</v>
      </c>
      <c r="M35" s="18" t="n">
        <f aca="false">L35/E35</f>
        <v>41875.2374470354</v>
      </c>
      <c r="N35" s="18" t="n">
        <f aca="false">N34+K35*12/E35</f>
        <v>0</v>
      </c>
    </row>
    <row r="36" customFormat="false" ht="15" hidden="false" customHeight="true" outlineLevel="0" collapsed="false">
      <c r="A36" s="13" t="n">
        <v>31</v>
      </c>
      <c r="B36" s="18" t="n">
        <f aca="false">B35+G35+H35+I35</f>
        <v>26115253184605.4</v>
      </c>
      <c r="C36" s="18" t="n">
        <f aca="false">C35*(1+Inputs!B11)*(1+Inputs!B13)</f>
        <v>56720976644612.5</v>
      </c>
      <c r="D36" s="17" t="n">
        <f aca="false">D35*(1+Inputs!B12)</f>
        <v>399184822.491958</v>
      </c>
      <c r="E36" s="16" t="n">
        <f aca="false">E35*(1+Inputs!B13)</f>
        <v>1</v>
      </c>
      <c r="F36" s="17" t="n">
        <f aca="false">MAX(0,D36*Inputs!B12)</f>
        <v>1995924.11245979</v>
      </c>
      <c r="G36" s="18" t="n">
        <f aca="false">Inputs!B6*(C36/D36)*F36</f>
        <v>7090122080.57656</v>
      </c>
      <c r="H36" s="18" t="n">
        <f aca="false">Inputs!B7*C36*Inputs!B11</f>
        <v>141802441611.531</v>
      </c>
      <c r="I36" s="18" t="n">
        <f aca="false">Inputs!B8*B36</f>
        <v>0</v>
      </c>
      <c r="J36" s="18" t="n">
        <f aca="false">IF(D36&gt;0,H36/D36,0)</f>
        <v>355.230042881673</v>
      </c>
      <c r="K36" s="19" t="n">
        <f aca="false">IF(D36&gt;0,I36/D36/12,0)</f>
        <v>0</v>
      </c>
      <c r="L36" s="18" t="n">
        <f aca="false">(L35+J36)*(1+Inputs!B14)</f>
        <v>44975.4478767616</v>
      </c>
      <c r="M36" s="18" t="n">
        <f aca="false">L36/E36</f>
        <v>44975.4478767616</v>
      </c>
      <c r="N36" s="18" t="n">
        <f aca="false">N35+K36*12/E36</f>
        <v>0</v>
      </c>
    </row>
    <row r="37" customFormat="false" ht="15" hidden="false" customHeight="true" outlineLevel="0" collapsed="false">
      <c r="A37" s="13" t="n">
        <v>32</v>
      </c>
      <c r="B37" s="18" t="n">
        <f aca="false">B36+G36+H36+I36</f>
        <v>26264145748297.5</v>
      </c>
      <c r="C37" s="18" t="n">
        <f aca="false">C36*(1+Inputs!B11)*(1+Inputs!B13)</f>
        <v>57855396177504.7</v>
      </c>
      <c r="D37" s="17" t="n">
        <f aca="false">D36*(1+Inputs!B12)</f>
        <v>401180746.604418</v>
      </c>
      <c r="E37" s="16" t="n">
        <f aca="false">E36*(1+Inputs!B13)</f>
        <v>1</v>
      </c>
      <c r="F37" s="17" t="n">
        <f aca="false">MAX(0,D37*Inputs!B12)</f>
        <v>2005903.73302209</v>
      </c>
      <c r="G37" s="18" t="n">
        <f aca="false">Inputs!B6*(C37/D37)*F37</f>
        <v>7231924522.18809</v>
      </c>
      <c r="H37" s="18" t="n">
        <f aca="false">Inputs!B7*C37*Inputs!B11</f>
        <v>144638490443.762</v>
      </c>
      <c r="I37" s="18" t="n">
        <f aca="false">Inputs!B8*B37</f>
        <v>0</v>
      </c>
      <c r="J37" s="18" t="n">
        <f aca="false">IF(D37&gt;0,H37/D37,0)</f>
        <v>360.531983820205</v>
      </c>
      <c r="K37" s="19" t="n">
        <f aca="false">IF(D37&gt;0,I37/D37/12,0)</f>
        <v>0</v>
      </c>
      <c r="L37" s="18" t="n">
        <f aca="false">(L36+J37)*(1+Inputs!B14)</f>
        <v>48282.8185515197</v>
      </c>
      <c r="M37" s="18" t="n">
        <f aca="false">L37/E37</f>
        <v>48282.8185515197</v>
      </c>
      <c r="N37" s="18" t="n">
        <f aca="false">N36+K37*12/E37</f>
        <v>0</v>
      </c>
    </row>
    <row r="38" customFormat="false" ht="15" hidden="false" customHeight="true" outlineLevel="0" collapsed="false">
      <c r="A38" s="13" t="n">
        <v>33</v>
      </c>
      <c r="B38" s="18" t="n">
        <f aca="false">B37+G37+H37+I37</f>
        <v>26416016163263.4</v>
      </c>
      <c r="C38" s="18" t="n">
        <f aca="false">C37*(1+Inputs!B11)*(1+Inputs!B13)</f>
        <v>59012504101054.8</v>
      </c>
      <c r="D38" s="17" t="n">
        <f aca="false">D37*(1+Inputs!B12)</f>
        <v>403186650.33744</v>
      </c>
      <c r="E38" s="16" t="n">
        <f aca="false">E37*(1+Inputs!B13)</f>
        <v>1</v>
      </c>
      <c r="F38" s="17" t="n">
        <f aca="false">MAX(0,D38*Inputs!B12)</f>
        <v>2015933.2516872</v>
      </c>
      <c r="G38" s="18" t="n">
        <f aca="false">Inputs!B6*(C38/D38)*F38</f>
        <v>7376563012.63185</v>
      </c>
      <c r="H38" s="18" t="n">
        <f aca="false">Inputs!B7*C38*Inputs!B11</f>
        <v>147531260252.637</v>
      </c>
      <c r="I38" s="18" t="n">
        <f aca="false">Inputs!B8*B38</f>
        <v>0</v>
      </c>
      <c r="J38" s="18" t="n">
        <f aca="false">IF(D38&gt;0,H38/D38,0)</f>
        <v>365.913058205582</v>
      </c>
      <c r="K38" s="19" t="n">
        <f aca="false">IF(D38&gt;0,I38/D38/12,0)</f>
        <v>0</v>
      </c>
      <c r="L38" s="18" t="n">
        <f aca="false">(L37+J38)*(1+Inputs!B14)</f>
        <v>51810.8991643574</v>
      </c>
      <c r="M38" s="18" t="n">
        <f aca="false">L38/E38</f>
        <v>51810.8991643574</v>
      </c>
      <c r="N38" s="18" t="n">
        <f aca="false">N37+K38*12/E38</f>
        <v>0</v>
      </c>
    </row>
    <row r="39" customFormat="false" ht="15" hidden="false" customHeight="true" outlineLevel="0" collapsed="false">
      <c r="A39" s="13" t="n">
        <v>34</v>
      </c>
      <c r="B39" s="18" t="n">
        <f aca="false">B38+G38+H38+I38</f>
        <v>26570923986528.7</v>
      </c>
      <c r="C39" s="18" t="n">
        <f aca="false">C38*(1+Inputs!B11)*(1+Inputs!B13)</f>
        <v>60192754183075.9</v>
      </c>
      <c r="D39" s="17" t="n">
        <f aca="false">D38*(1+Inputs!B12)</f>
        <v>405202583.589127</v>
      </c>
      <c r="E39" s="16" t="n">
        <f aca="false">E38*(1+Inputs!B13)</f>
        <v>1</v>
      </c>
      <c r="F39" s="17" t="n">
        <f aca="false">MAX(0,D39*Inputs!B12)</f>
        <v>2026012.91794563</v>
      </c>
      <c r="G39" s="18" t="n">
        <f aca="false">Inputs!B6*(C39/D39)*F39</f>
        <v>7524094272.88449</v>
      </c>
      <c r="H39" s="18" t="n">
        <f aca="false">Inputs!B7*C39*Inputs!B11</f>
        <v>150481885457.69</v>
      </c>
      <c r="I39" s="18" t="n">
        <f aca="false">Inputs!B8*B39</f>
        <v>0</v>
      </c>
      <c r="J39" s="18" t="n">
        <f aca="false">IF(D39&gt;0,H39/D39,0)</f>
        <v>371.374447134023</v>
      </c>
      <c r="K39" s="19" t="n">
        <f aca="false">IF(D39&gt;0,I39/D39/12,0)</f>
        <v>0</v>
      </c>
      <c r="L39" s="18" t="n">
        <f aca="false">(L38+J39)*(1+Inputs!B14)</f>
        <v>55574.1213962383</v>
      </c>
      <c r="M39" s="18" t="n">
        <f aca="false">L39/E39</f>
        <v>55574.1213962383</v>
      </c>
      <c r="N39" s="18" t="n">
        <f aca="false">N38+K39*12/E39</f>
        <v>0</v>
      </c>
    </row>
    <row r="40" customFormat="false" ht="15" hidden="false" customHeight="true" outlineLevel="0" collapsed="false">
      <c r="A40" s="13" t="n">
        <v>35</v>
      </c>
      <c r="B40" s="18" t="n">
        <f aca="false">B39+G39+H39+I39</f>
        <v>26728929966259.3</v>
      </c>
      <c r="C40" s="18" t="n">
        <f aca="false">C39*(1+Inputs!B11)*(1+Inputs!B13)</f>
        <v>61396609266737.4</v>
      </c>
      <c r="D40" s="17" t="n">
        <f aca="false">D39*(1+Inputs!B12)</f>
        <v>407228596.507072</v>
      </c>
      <c r="E40" s="16" t="n">
        <f aca="false">E39*(1+Inputs!B13)</f>
        <v>1</v>
      </c>
      <c r="F40" s="17" t="n">
        <f aca="false">MAX(0,D40*Inputs!B12)</f>
        <v>2036142.98253536</v>
      </c>
      <c r="G40" s="18" t="n">
        <f aca="false">Inputs!B6*(C40/D40)*F40</f>
        <v>7674576158.34218</v>
      </c>
      <c r="H40" s="18" t="n">
        <f aca="false">Inputs!B7*C40*Inputs!B11</f>
        <v>153491523166.844</v>
      </c>
      <c r="I40" s="18" t="n">
        <f aca="false">Inputs!B8*B40</f>
        <v>0</v>
      </c>
      <c r="J40" s="18" t="n">
        <f aca="false">IF(D40&gt;0,H40/D40,0)</f>
        <v>376.917349330053</v>
      </c>
      <c r="K40" s="19" t="n">
        <f aca="false">IF(D40&gt;0,I40/D40/12,0)</f>
        <v>0</v>
      </c>
      <c r="L40" s="18" t="n">
        <f aca="false">(L39+J40)*(1+Inputs!B14)</f>
        <v>59587.8562640303</v>
      </c>
      <c r="M40" s="18" t="n">
        <f aca="false">L40/E40</f>
        <v>59587.8562640303</v>
      </c>
      <c r="N40" s="18" t="n">
        <f aca="false">N39+K40*12/E40</f>
        <v>0</v>
      </c>
    </row>
    <row r="41" customFormat="false" ht="15" hidden="false" customHeight="true" outlineLevel="0" collapsed="false">
      <c r="A41" s="13" t="n">
        <v>36</v>
      </c>
      <c r="B41" s="18" t="n">
        <f aca="false">B40+G40+H40+I40</f>
        <v>26890096065584.5</v>
      </c>
      <c r="C41" s="18" t="n">
        <f aca="false">C40*(1+Inputs!B11)*(1+Inputs!B13)</f>
        <v>62624541452072.2</v>
      </c>
      <c r="D41" s="17" t="n">
        <f aca="false">D40*(1+Inputs!B12)</f>
        <v>409264739.489608</v>
      </c>
      <c r="E41" s="16" t="n">
        <f aca="false">E40*(1+Inputs!B13)</f>
        <v>1</v>
      </c>
      <c r="F41" s="17" t="n">
        <f aca="false">MAX(0,D41*Inputs!B12)</f>
        <v>2046323.69744804</v>
      </c>
      <c r="G41" s="18" t="n">
        <f aca="false">Inputs!B6*(C41/D41)*F41</f>
        <v>7828067681.50902</v>
      </c>
      <c r="H41" s="18" t="n">
        <f aca="false">Inputs!B7*C41*Inputs!B11</f>
        <v>156561353630.18</v>
      </c>
      <c r="I41" s="18" t="n">
        <f aca="false">Inputs!B8*B41</f>
        <v>0</v>
      </c>
      <c r="J41" s="18" t="n">
        <f aca="false">IF(D41&gt;0,H41/D41,0)</f>
        <v>382.542981409606</v>
      </c>
      <c r="K41" s="19" t="n">
        <f aca="false">IF(D41&gt;0,I41/D41/12,0)</f>
        <v>0</v>
      </c>
      <c r="L41" s="18" t="n">
        <f aca="false">(L40+J41)*(1+Inputs!B14)</f>
        <v>63868.4751963935</v>
      </c>
      <c r="M41" s="18" t="n">
        <f aca="false">L41/E41</f>
        <v>63868.4751963935</v>
      </c>
      <c r="N41" s="18" t="n">
        <f aca="false">N40+K41*12/E41</f>
        <v>0</v>
      </c>
    </row>
    <row r="42" customFormat="false" ht="15" hidden="false" customHeight="true" outlineLevel="0" collapsed="false">
      <c r="A42" s="13" t="n">
        <v>37</v>
      </c>
      <c r="B42" s="18" t="n">
        <f aca="false">B41+G41+H41+I41</f>
        <v>27054485486896.2</v>
      </c>
      <c r="C42" s="18" t="n">
        <f aca="false">C41*(1+Inputs!B11)*(1+Inputs!B13)</f>
        <v>63877032281113.6</v>
      </c>
      <c r="D42" s="17" t="n">
        <f aca="false">D41*(1+Inputs!B12)</f>
        <v>411311063.187056</v>
      </c>
      <c r="E42" s="16" t="n">
        <f aca="false">E41*(1+Inputs!B13)</f>
        <v>1</v>
      </c>
      <c r="F42" s="17" t="n">
        <f aca="false">MAX(0,D42*Inputs!B12)</f>
        <v>2056555.31593528</v>
      </c>
      <c r="G42" s="18" t="n">
        <f aca="false">Inputs!B6*(C42/D42)*F42</f>
        <v>7984629035.1392</v>
      </c>
      <c r="H42" s="18" t="n">
        <f aca="false">Inputs!B7*C42*Inputs!B11</f>
        <v>159692580702.784</v>
      </c>
      <c r="I42" s="18" t="n">
        <f aca="false">Inputs!B8*B42</f>
        <v>0</v>
      </c>
      <c r="J42" s="18" t="n">
        <f aca="false">IF(D42&gt;0,H42/D42,0)</f>
        <v>388.252578147063</v>
      </c>
      <c r="K42" s="19" t="n">
        <f aca="false">IF(D42&gt;0,I42/D42/12,0)</f>
        <v>0</v>
      </c>
      <c r="L42" s="18" t="n">
        <f aca="false">(L41+J42)*(1+Inputs!B14)</f>
        <v>68433.4150798857</v>
      </c>
      <c r="M42" s="18" t="n">
        <f aca="false">L42/E42</f>
        <v>68433.4150798857</v>
      </c>
      <c r="N42" s="18" t="n">
        <f aca="false">N41+K42*12/E42</f>
        <v>0</v>
      </c>
    </row>
    <row r="43" customFormat="false" ht="15" hidden="false" customHeight="true" outlineLevel="0" collapsed="false">
      <c r="A43" s="13" t="n">
        <v>38</v>
      </c>
      <c r="B43" s="18" t="n">
        <f aca="false">B42+G42+H42+I42</f>
        <v>27222162696634.1</v>
      </c>
      <c r="C43" s="18" t="n">
        <f aca="false">C42*(1+Inputs!B11)*(1+Inputs!B13)</f>
        <v>65154572926735.9</v>
      </c>
      <c r="D43" s="17" t="n">
        <f aca="false">D42*(1+Inputs!B12)</f>
        <v>413367618.502991</v>
      </c>
      <c r="E43" s="16" t="n">
        <f aca="false">E42*(1+Inputs!B13)</f>
        <v>1</v>
      </c>
      <c r="F43" s="17" t="n">
        <f aca="false">MAX(0,D43*Inputs!B12)</f>
        <v>2066838.09251495</v>
      </c>
      <c r="G43" s="18" t="n">
        <f aca="false">Inputs!B6*(C43/D43)*F43</f>
        <v>8144321615.84199</v>
      </c>
      <c r="H43" s="18" t="n">
        <f aca="false">Inputs!B7*C43*Inputs!B11</f>
        <v>162886432316.84</v>
      </c>
      <c r="I43" s="18" t="n">
        <f aca="false">Inputs!B8*B43</f>
        <v>0</v>
      </c>
      <c r="J43" s="18" t="n">
        <f aca="false">IF(D43&gt;0,H43/D43,0)</f>
        <v>394.047392746273</v>
      </c>
      <c r="K43" s="19" t="n">
        <f aca="false">IF(D43&gt;0,I43/D43/12,0)</f>
        <v>0</v>
      </c>
      <c r="L43" s="18" t="n">
        <f aca="false">(L42+J43)*(1+Inputs!B14)</f>
        <v>73301.2475333531</v>
      </c>
      <c r="M43" s="18" t="n">
        <f aca="false">L43/E43</f>
        <v>73301.2475333531</v>
      </c>
      <c r="N43" s="18" t="n">
        <f aca="false">N42+K43*12/E43</f>
        <v>0</v>
      </c>
    </row>
    <row r="44" customFormat="false" ht="15" hidden="false" customHeight="true" outlineLevel="0" collapsed="false">
      <c r="A44" s="13" t="n">
        <v>39</v>
      </c>
      <c r="B44" s="18" t="n">
        <f aca="false">B43+G43+H43+I43</f>
        <v>27393193450566.8</v>
      </c>
      <c r="C44" s="18" t="n">
        <f aca="false">C43*(1+Inputs!B11)*(1+Inputs!B13)</f>
        <v>66457664385270.6</v>
      </c>
      <c r="D44" s="17" t="n">
        <f aca="false">D43*(1+Inputs!B12)</f>
        <v>415434456.595506</v>
      </c>
      <c r="E44" s="16" t="n">
        <f aca="false">E43*(1+Inputs!B13)</f>
        <v>1</v>
      </c>
      <c r="F44" s="17" t="n">
        <f aca="false">MAX(0,D44*Inputs!B12)</f>
        <v>2077172.28297753</v>
      </c>
      <c r="G44" s="18" t="n">
        <f aca="false">Inputs!B6*(C44/D44)*F44</f>
        <v>8307208048.15883</v>
      </c>
      <c r="H44" s="18" t="n">
        <f aca="false">Inputs!B7*C44*Inputs!B11</f>
        <v>166144160963.176</v>
      </c>
      <c r="I44" s="18" t="n">
        <f aca="false">Inputs!B8*B44</f>
        <v>0</v>
      </c>
      <c r="J44" s="18" t="n">
        <f aca="false">IF(D44&gt;0,H44/D44,0)</f>
        <v>399.928697115621</v>
      </c>
      <c r="K44" s="19" t="n">
        <f aca="false">IF(D44&gt;0,I44/D44/12,0)</f>
        <v>0</v>
      </c>
      <c r="L44" s="18" t="n">
        <f aca="false">(L43+J44)*(1+Inputs!B14)</f>
        <v>78491.7526854492</v>
      </c>
      <c r="M44" s="18" t="n">
        <f aca="false">L44/E44</f>
        <v>78491.7526854492</v>
      </c>
      <c r="N44" s="18" t="n">
        <f aca="false">N43+K44*12/E44</f>
        <v>0</v>
      </c>
    </row>
    <row r="45" customFormat="false" ht="15" hidden="false" customHeight="true" outlineLevel="0" collapsed="false">
      <c r="A45" s="13" t="n">
        <v>40</v>
      </c>
      <c r="B45" s="18" t="n">
        <f aca="false">B44+G44+H44+I44</f>
        <v>27567644819578.1</v>
      </c>
      <c r="C45" s="18" t="n">
        <f aca="false">C44*(1+Inputs!B11)*(1+Inputs!B13)</f>
        <v>67786817672976</v>
      </c>
      <c r="D45" s="17" t="n">
        <f aca="false">D44*(1+Inputs!B12)</f>
        <v>417511628.878483</v>
      </c>
      <c r="E45" s="16" t="n">
        <f aca="false">E44*(1+Inputs!B13)</f>
        <v>1</v>
      </c>
      <c r="F45" s="17" t="n">
        <f aca="false">MAX(0,D45*Inputs!B12)</f>
        <v>2087558.14439242</v>
      </c>
      <c r="G45" s="18" t="n">
        <f aca="false">Inputs!B6*(C45/D45)*F45</f>
        <v>8473352209.122</v>
      </c>
      <c r="H45" s="18" t="n">
        <f aca="false">Inputs!B7*C45*Inputs!B11</f>
        <v>169467044182.44</v>
      </c>
      <c r="I45" s="18" t="n">
        <f aca="false">Inputs!B8*B45</f>
        <v>0</v>
      </c>
      <c r="J45" s="18" t="n">
        <f aca="false">IF(D45&gt;0,H45/D45,0)</f>
        <v>405.897782147197</v>
      </c>
      <c r="K45" s="19" t="n">
        <f aca="false">IF(D45&gt;0,I45/D45/12,0)</f>
        <v>0</v>
      </c>
      <c r="L45" s="18" t="n">
        <f aca="false">(L44+J45)*(1+Inputs!B14)</f>
        <v>84025.9977479901</v>
      </c>
      <c r="M45" s="18" t="n">
        <f aca="false">L45/E45</f>
        <v>84025.9977479901</v>
      </c>
      <c r="N45" s="18" t="n">
        <f aca="false">N44+K45*12/E45</f>
        <v>0</v>
      </c>
    </row>
    <row r="46" customFormat="false" ht="15" hidden="false" customHeight="true" outlineLevel="0" collapsed="false">
      <c r="A46" s="13" t="n">
        <v>41</v>
      </c>
      <c r="B46" s="18" t="n">
        <f aca="false">B45+G45+H45+I45</f>
        <v>27745585215969.7</v>
      </c>
      <c r="C46" s="18" t="n">
        <f aca="false">C45*(1+Inputs!B11)*(1+Inputs!B13)</f>
        <v>69142554026435.5</v>
      </c>
      <c r="D46" s="17" t="n">
        <f aca="false">D45*(1+Inputs!B12)</f>
        <v>419599187.022876</v>
      </c>
      <c r="E46" s="16" t="n">
        <f aca="false">E45*(1+Inputs!B13)</f>
        <v>1</v>
      </c>
      <c r="F46" s="17" t="n">
        <f aca="false">MAX(0,D46*Inputs!B12)</f>
        <v>2097995.93511438</v>
      </c>
      <c r="G46" s="18" t="n">
        <f aca="false">Inputs!B6*(C46/D46)*F46</f>
        <v>8642819253.30444</v>
      </c>
      <c r="H46" s="18" t="n">
        <f aca="false">Inputs!B7*C46*Inputs!B11</f>
        <v>172856385066.089</v>
      </c>
      <c r="I46" s="18" t="n">
        <f aca="false">Inputs!B8*B46</f>
        <v>0</v>
      </c>
      <c r="J46" s="18" t="n">
        <f aca="false">IF(D46&gt;0,H46/D46,0)</f>
        <v>411.95595800014</v>
      </c>
      <c r="K46" s="19" t="n">
        <f aca="false">IF(D46&gt;0,I46/D46/12,0)</f>
        <v>0</v>
      </c>
      <c r="L46" s="18" t="n">
        <f aca="false">(L45+J46)*(1+Inputs!B14)</f>
        <v>89926.4206968796</v>
      </c>
      <c r="M46" s="18" t="n">
        <f aca="false">L46/E46</f>
        <v>89926.4206968796</v>
      </c>
      <c r="N46" s="18" t="n">
        <f aca="false">N45+K46*12/E46</f>
        <v>0</v>
      </c>
    </row>
    <row r="47" customFormat="false" ht="15" hidden="false" customHeight="true" outlineLevel="0" collapsed="false">
      <c r="A47" s="13" t="n">
        <v>42</v>
      </c>
      <c r="B47" s="18" t="n">
        <f aca="false">B46+G46+H46+I46</f>
        <v>27927084420289.1</v>
      </c>
      <c r="C47" s="18" t="n">
        <f aca="false">C46*(1+Inputs!B11)*(1+Inputs!B13)</f>
        <v>70525405106964.3</v>
      </c>
      <c r="D47" s="17" t="n">
        <f aca="false">D46*(1+Inputs!B12)</f>
        <v>421697182.95799</v>
      </c>
      <c r="E47" s="16" t="n">
        <f aca="false">E46*(1+Inputs!B13)</f>
        <v>1</v>
      </c>
      <c r="F47" s="17" t="n">
        <f aca="false">MAX(0,D47*Inputs!B12)</f>
        <v>2108485.91478995</v>
      </c>
      <c r="G47" s="18" t="n">
        <f aca="false">Inputs!B6*(C47/D47)*F47</f>
        <v>8815675638.37053</v>
      </c>
      <c r="H47" s="18" t="n">
        <f aca="false">Inputs!B7*C47*Inputs!B11</f>
        <v>176313512767.411</v>
      </c>
      <c r="I47" s="18" t="n">
        <f aca="false">Inputs!B8*B47</f>
        <v>0</v>
      </c>
      <c r="J47" s="18" t="n">
        <f aca="false">IF(D47&gt;0,H47/D47,0)</f>
        <v>418.104554388202</v>
      </c>
      <c r="K47" s="19" t="n">
        <f aca="false">IF(D47&gt;0,I47/D47/12,0)</f>
        <v>0</v>
      </c>
      <c r="L47" s="18" t="n">
        <f aca="false">(L46+J47)*(1+Inputs!B14)</f>
        <v>96216.9193926002</v>
      </c>
      <c r="M47" s="18" t="n">
        <f aca="false">L47/E47</f>
        <v>96216.9193926002</v>
      </c>
      <c r="N47" s="18" t="n">
        <f aca="false">N46+K47*12/E47</f>
        <v>0</v>
      </c>
    </row>
    <row r="48" customFormat="false" ht="15" hidden="false" customHeight="true" outlineLevel="0" collapsed="false">
      <c r="A48" s="13" t="n">
        <v>43</v>
      </c>
      <c r="B48" s="18" t="n">
        <f aca="false">B47+G47+H47+I47</f>
        <v>28112213608694.8</v>
      </c>
      <c r="C48" s="18" t="n">
        <f aca="false">C47*(1+Inputs!B11)*(1+Inputs!B13)</f>
        <v>71935913209103.5</v>
      </c>
      <c r="D48" s="17" t="n">
        <f aca="false">D47*(1+Inputs!B12)</f>
        <v>423805668.87278</v>
      </c>
      <c r="E48" s="16" t="n">
        <f aca="false">E47*(1+Inputs!B13)</f>
        <v>1</v>
      </c>
      <c r="F48" s="17" t="n">
        <f aca="false">MAX(0,D48*Inputs!B12)</f>
        <v>2119028.3443639</v>
      </c>
      <c r="G48" s="18" t="n">
        <f aca="false">Inputs!B6*(C48/D48)*F48</f>
        <v>8991989151.13794</v>
      </c>
      <c r="H48" s="18" t="n">
        <f aca="false">Inputs!B7*C48*Inputs!B11</f>
        <v>179839783022.759</v>
      </c>
      <c r="I48" s="18" t="n">
        <f aca="false">Inputs!B8*B48</f>
        <v>0</v>
      </c>
      <c r="J48" s="18" t="n">
        <f aca="false">IF(D48&gt;0,H48/D48,0)</f>
        <v>424.344920871608</v>
      </c>
      <c r="K48" s="19" t="n">
        <f aca="false">IF(D48&gt;0,I48/D48/12,0)</f>
        <v>0</v>
      </c>
      <c r="L48" s="18" t="n">
        <f aca="false">(L47+J48)*(1+Inputs!B14)</f>
        <v>102922.946493847</v>
      </c>
      <c r="M48" s="18" t="n">
        <f aca="false">L48/E48</f>
        <v>102922.946493847</v>
      </c>
      <c r="N48" s="18" t="n">
        <f aca="false">N47+K48*12/E48</f>
        <v>0</v>
      </c>
    </row>
    <row r="49" customFormat="false" ht="15" hidden="false" customHeight="true" outlineLevel="0" collapsed="false">
      <c r="A49" s="13" t="n">
        <v>44</v>
      </c>
      <c r="B49" s="18" t="n">
        <f aca="false">B48+G48+H48+I48</f>
        <v>28301045380868.7</v>
      </c>
      <c r="C49" s="18" t="n">
        <f aca="false">C48*(1+Inputs!B11)*(1+Inputs!B13)</f>
        <v>73374631473285.6</v>
      </c>
      <c r="D49" s="17" t="n">
        <f aca="false">D48*(1+Inputs!B12)</f>
        <v>425924697.217144</v>
      </c>
      <c r="E49" s="16" t="n">
        <f aca="false">E48*(1+Inputs!B13)</f>
        <v>1</v>
      </c>
      <c r="F49" s="17" t="n">
        <f aca="false">MAX(0,D49*Inputs!B12)</f>
        <v>2129623.48608572</v>
      </c>
      <c r="G49" s="18" t="n">
        <f aca="false">Inputs!B6*(C49/D49)*F49</f>
        <v>9171828934.1607</v>
      </c>
      <c r="H49" s="18" t="n">
        <f aca="false">Inputs!B7*C49*Inputs!B11</f>
        <v>183436578683.214</v>
      </c>
      <c r="I49" s="18" t="n">
        <f aca="false">Inputs!B8*B49</f>
        <v>0</v>
      </c>
      <c r="J49" s="18" t="n">
        <f aca="false">IF(D49&gt;0,H49/D49,0)</f>
        <v>430.678427153274</v>
      </c>
      <c r="K49" s="19" t="n">
        <f aca="false">IF(D49&gt;0,I49/D49/12,0)</f>
        <v>0</v>
      </c>
      <c r="L49" s="18" t="n">
        <f aca="false">(L48+J49)*(1+Inputs!B14)</f>
        <v>110071.610540866</v>
      </c>
      <c r="M49" s="18" t="n">
        <f aca="false">L49/E49</f>
        <v>110071.610540866</v>
      </c>
      <c r="N49" s="18" t="n">
        <f aca="false">N48+K49*12/E49</f>
        <v>0</v>
      </c>
    </row>
    <row r="50" customFormat="false" ht="15" hidden="false" customHeight="true" outlineLevel="0" collapsed="false">
      <c r="A50" s="13" t="n">
        <v>45</v>
      </c>
      <c r="B50" s="18" t="n">
        <f aca="false">B49+G49+H49+I49</f>
        <v>28493653788486.1</v>
      </c>
      <c r="C50" s="18" t="n">
        <f aca="false">C49*(1+Inputs!B11)*(1+Inputs!B13)</f>
        <v>74842124102751.3</v>
      </c>
      <c r="D50" s="17" t="n">
        <f aca="false">D49*(1+Inputs!B12)</f>
        <v>428054320.703229</v>
      </c>
      <c r="E50" s="16" t="n">
        <f aca="false">E49*(1+Inputs!B13)</f>
        <v>1</v>
      </c>
      <c r="F50" s="17" t="n">
        <f aca="false">MAX(0,D50*Inputs!B12)</f>
        <v>2140271.60351615</v>
      </c>
      <c r="G50" s="18" t="n">
        <f aca="false">Inputs!B6*(C50/D50)*F50</f>
        <v>9355265512.84392</v>
      </c>
      <c r="H50" s="18" t="n">
        <f aca="false">Inputs!B7*C50*Inputs!B11</f>
        <v>187105310256.878</v>
      </c>
      <c r="I50" s="18" t="n">
        <f aca="false">Inputs!B8*B50</f>
        <v>0</v>
      </c>
      <c r="J50" s="18" t="n">
        <f aca="false">IF(D50&gt;0,H50/D50,0)</f>
        <v>437.106463379443</v>
      </c>
      <c r="K50" s="19" t="n">
        <f aca="false">IF(D50&gt;0,I50/D50/12,0)</f>
        <v>0</v>
      </c>
      <c r="L50" s="18" t="n">
        <f aca="false">(L49+J50)*(1+Inputs!B14)</f>
        <v>117691.783609521</v>
      </c>
      <c r="M50" s="18" t="n">
        <f aca="false">L50/E50</f>
        <v>117691.783609521</v>
      </c>
      <c r="N50" s="18" t="n">
        <f aca="false">N49+K50*12/E50</f>
        <v>0</v>
      </c>
    </row>
    <row r="51" customFormat="false" ht="15" hidden="false" customHeight="true" outlineLevel="0" collapsed="false">
      <c r="A51" s="13" t="n">
        <v>46</v>
      </c>
      <c r="B51" s="18" t="n">
        <f aca="false">B50+G50+H50+I50</f>
        <v>28690114364255.8</v>
      </c>
      <c r="C51" s="18" t="n">
        <f aca="false">C50*(1+Inputs!B11)*(1+Inputs!B13)</f>
        <v>76338966584806.4</v>
      </c>
      <c r="D51" s="17" t="n">
        <f aca="false">D50*(1+Inputs!B12)</f>
        <v>430194592.306745</v>
      </c>
      <c r="E51" s="16" t="n">
        <f aca="false">E50*(1+Inputs!B13)</f>
        <v>1</v>
      </c>
      <c r="F51" s="17" t="n">
        <f aca="false">MAX(0,D51*Inputs!B12)</f>
        <v>2150972.96153373</v>
      </c>
      <c r="G51" s="18" t="n">
        <f aca="false">Inputs!B6*(C51/D51)*F51</f>
        <v>9542370823.1008</v>
      </c>
      <c r="H51" s="18" t="n">
        <f aca="false">Inputs!B7*C51*Inputs!B11</f>
        <v>190847416462.016</v>
      </c>
      <c r="I51" s="18" t="n">
        <f aca="false">Inputs!B8*B51</f>
        <v>0</v>
      </c>
      <c r="J51" s="18" t="n">
        <f aca="false">IF(D51&gt;0,H51/D51,0)</f>
        <v>443.630440444808</v>
      </c>
      <c r="K51" s="19" t="n">
        <f aca="false">IF(D51&gt;0,I51/D51/12,0)</f>
        <v>0</v>
      </c>
      <c r="L51" s="18" t="n">
        <f aca="false">(L50+J51)*(1+Inputs!B14)</f>
        <v>125814.215963214</v>
      </c>
      <c r="M51" s="18" t="n">
        <f aca="false">L51/E51</f>
        <v>125814.215963214</v>
      </c>
      <c r="N51" s="18" t="n">
        <f aca="false">N50+K51*12/E51</f>
        <v>0</v>
      </c>
    </row>
    <row r="52" customFormat="false" ht="15" hidden="false" customHeight="true" outlineLevel="0" collapsed="false">
      <c r="A52" s="13" t="n">
        <v>47</v>
      </c>
      <c r="B52" s="18" t="n">
        <f aca="false">B51+G51+H51+I51</f>
        <v>28890504151541</v>
      </c>
      <c r="C52" s="18" t="n">
        <f aca="false">C51*(1+Inputs!B11)*(1+Inputs!B13)</f>
        <v>77865745916502.5</v>
      </c>
      <c r="D52" s="17" t="n">
        <f aca="false">D51*(1+Inputs!B12)</f>
        <v>432345565.268279</v>
      </c>
      <c r="E52" s="16" t="n">
        <f aca="false">E51*(1+Inputs!B13)</f>
        <v>1</v>
      </c>
      <c r="F52" s="17" t="n">
        <f aca="false">MAX(0,D52*Inputs!B12)</f>
        <v>2161727.8263414</v>
      </c>
      <c r="G52" s="18" t="n">
        <f aca="false">Inputs!B6*(C52/D52)*F52</f>
        <v>9733218239.56281</v>
      </c>
      <c r="H52" s="18" t="n">
        <f aca="false">Inputs!B7*C52*Inputs!B11</f>
        <v>194664364791.256</v>
      </c>
      <c r="I52" s="18" t="n">
        <f aca="false">Inputs!B8*B52</f>
        <v>0</v>
      </c>
      <c r="J52" s="18" t="n">
        <f aca="false">IF(D52&gt;0,H52/D52,0)</f>
        <v>450.251790302193</v>
      </c>
      <c r="K52" s="19" t="n">
        <f aca="false">IF(D52&gt;0,I52/D52/12,0)</f>
        <v>0</v>
      </c>
      <c r="L52" s="18" t="n">
        <f aca="false">(L51+J52)*(1+Inputs!B14)</f>
        <v>134471.658157495</v>
      </c>
      <c r="M52" s="18" t="n">
        <f aca="false">L52/E52</f>
        <v>134471.658157495</v>
      </c>
      <c r="N52" s="18" t="n">
        <f aca="false">N51+K52*12/E52</f>
        <v>0</v>
      </c>
    </row>
    <row r="53" customFormat="false" ht="15" hidden="false" customHeight="true" outlineLevel="0" collapsed="false">
      <c r="A53" s="13" t="n">
        <v>48</v>
      </c>
      <c r="B53" s="18" t="n">
        <f aca="false">B52+G52+H52+I52</f>
        <v>29094901734571.8</v>
      </c>
      <c r="C53" s="18" t="n">
        <f aca="false">C52*(1+Inputs!B11)*(1+Inputs!B13)</f>
        <v>79423060834832.5</v>
      </c>
      <c r="D53" s="17" t="n">
        <f aca="false">D52*(1+Inputs!B12)</f>
        <v>434507293.09462</v>
      </c>
      <c r="E53" s="16" t="n">
        <f aca="false">E52*(1+Inputs!B13)</f>
        <v>1</v>
      </c>
      <c r="F53" s="17" t="n">
        <f aca="false">MAX(0,D53*Inputs!B12)</f>
        <v>2172536.4654731</v>
      </c>
      <c r="G53" s="18" t="n">
        <f aca="false">Inputs!B6*(C53/D53)*F53</f>
        <v>9927882604.35407</v>
      </c>
      <c r="H53" s="18" t="n">
        <f aca="false">Inputs!B7*C53*Inputs!B11</f>
        <v>198557652087.081</v>
      </c>
      <c r="I53" s="18" t="n">
        <f aca="false">Inputs!B8*B53</f>
        <v>0</v>
      </c>
      <c r="J53" s="18" t="n">
        <f aca="false">IF(D53&gt;0,H53/D53,0)</f>
        <v>456.971966276852</v>
      </c>
      <c r="K53" s="19" t="n">
        <f aca="false">IF(D53&gt;0,I53/D53/12,0)</f>
        <v>0</v>
      </c>
      <c r="L53" s="18" t="n">
        <f aca="false">(L52+J53)*(1+Inputs!B14)</f>
        <v>143698.991081817</v>
      </c>
      <c r="M53" s="18" t="n">
        <f aca="false">L53/E53</f>
        <v>143698.991081817</v>
      </c>
      <c r="N53" s="18" t="n">
        <f aca="false">N52+K53*12/E53</f>
        <v>0</v>
      </c>
    </row>
    <row r="54" customFormat="false" ht="15" hidden="false" customHeight="true" outlineLevel="0" collapsed="false">
      <c r="A54" s="13" t="n">
        <v>49</v>
      </c>
      <c r="B54" s="18" t="n">
        <f aca="false">B53+G53+H53+I53</f>
        <v>29303387269263.2</v>
      </c>
      <c r="C54" s="18" t="n">
        <f aca="false">C53*(1+Inputs!B11)*(1+Inputs!B13)</f>
        <v>81011522051529.2</v>
      </c>
      <c r="D54" s="17" t="n">
        <f aca="false">D53*(1+Inputs!B12)</f>
        <v>436679829.560094</v>
      </c>
      <c r="E54" s="16" t="n">
        <f aca="false">E53*(1+Inputs!B13)</f>
        <v>1</v>
      </c>
      <c r="F54" s="17" t="n">
        <f aca="false">MAX(0,D54*Inputs!B12)</f>
        <v>2183399.14780047</v>
      </c>
      <c r="G54" s="18" t="n">
        <f aca="false">Inputs!B6*(C54/D54)*F54</f>
        <v>10126440256.4411</v>
      </c>
      <c r="H54" s="18" t="n">
        <f aca="false">Inputs!B7*C54*Inputs!B11</f>
        <v>202528805128.823</v>
      </c>
      <c r="I54" s="18" t="n">
        <f aca="false">Inputs!B8*B54</f>
        <v>0</v>
      </c>
      <c r="J54" s="18" t="n">
        <f aca="false">IF(D54&gt;0,H54/D54,0)</f>
        <v>463.792443385462</v>
      </c>
      <c r="K54" s="19" t="n">
        <f aca="false">IF(D54&gt;0,I54/D54/12,0)</f>
        <v>0</v>
      </c>
      <c r="L54" s="18" t="n">
        <f aca="false">(L53+J54)*(1+Inputs!B14)</f>
        <v>153533.36445434</v>
      </c>
      <c r="M54" s="18" t="n">
        <f aca="false">L54/E54</f>
        <v>153533.36445434</v>
      </c>
      <c r="N54" s="18" t="n">
        <f aca="false">N53+K54*12/E54</f>
        <v>0</v>
      </c>
    </row>
    <row r="55" customFormat="false" ht="15" hidden="false" customHeight="true" outlineLevel="0" collapsed="false">
      <c r="A55" s="13" t="n">
        <v>50</v>
      </c>
      <c r="B55" s="18" t="n">
        <f aca="false">B54+G54+H54+I54</f>
        <v>29516042514648.5</v>
      </c>
      <c r="C55" s="18" t="n">
        <f aca="false">C54*(1+Inputs!B11)*(1+Inputs!B13)</f>
        <v>82631752492559.8</v>
      </c>
      <c r="D55" s="17" t="n">
        <f aca="false">D54*(1+Inputs!B12)</f>
        <v>438863228.707894</v>
      </c>
      <c r="E55" s="16" t="n">
        <f aca="false">E54*(1+Inputs!B13)</f>
        <v>1</v>
      </c>
      <c r="F55" s="17" t="n">
        <f aca="false">MAX(0,D55*Inputs!B12)</f>
        <v>2194316.14353947</v>
      </c>
      <c r="G55" s="18" t="n">
        <f aca="false">Inputs!B6*(C55/D55)*F55</f>
        <v>10328969061.57</v>
      </c>
      <c r="H55" s="18" t="n">
        <f aca="false">Inputs!B7*C55*Inputs!B11</f>
        <v>206579381231.399</v>
      </c>
      <c r="I55" s="18" t="n">
        <f aca="false">Inputs!B8*B55</f>
        <v>0</v>
      </c>
      <c r="J55" s="18" t="n">
        <f aca="false">IF(D55&gt;0,H55/D55,0)</f>
        <v>470.714718659872</v>
      </c>
      <c r="K55" s="19" t="n">
        <f aca="false">IF(D55&gt;0,I55/D55/12,0)</f>
        <v>0</v>
      </c>
      <c r="L55" s="18" t="n">
        <f aca="false">(L54+J55)*(1+Inputs!B14)</f>
        <v>164014.344319245</v>
      </c>
      <c r="M55" s="18" t="n">
        <f aca="false">L55/E55</f>
        <v>164014.344319245</v>
      </c>
      <c r="N55" s="18" t="n">
        <f aca="false">N54+K55*12/E55</f>
        <v>0</v>
      </c>
    </row>
    <row r="56" customFormat="false" ht="15" hidden="false" customHeight="true" outlineLevel="0" collapsed="false">
      <c r="A56" s="13" t="n">
        <v>51</v>
      </c>
      <c r="B56" s="18" t="n">
        <f aca="false">B55+G55+H55+I55</f>
        <v>29732950864941.4</v>
      </c>
      <c r="C56" s="18" t="n">
        <f aca="false">C55*(1+Inputs!B11)*(1+Inputs!B13)</f>
        <v>84284387542411</v>
      </c>
      <c r="D56" s="17" t="n">
        <f aca="false">D55*(1+Inputs!B12)</f>
        <v>441057544.851433</v>
      </c>
      <c r="E56" s="16" t="n">
        <f aca="false">E55*(1+Inputs!B13)</f>
        <v>1</v>
      </c>
      <c r="F56" s="17" t="n">
        <f aca="false">MAX(0,D56*Inputs!B12)</f>
        <v>2205287.72425717</v>
      </c>
      <c r="G56" s="18" t="n">
        <f aca="false">Inputs!B6*(C56/D56)*F56</f>
        <v>10535548442.8014</v>
      </c>
      <c r="H56" s="18" t="n">
        <f aca="false">Inputs!B7*C56*Inputs!B11</f>
        <v>210710968856.027</v>
      </c>
      <c r="I56" s="18" t="n">
        <f aca="false">Inputs!B8*B56</f>
        <v>0</v>
      </c>
      <c r="J56" s="18" t="n">
        <f aca="false">IF(D56&gt;0,H56/D56,0)</f>
        <v>477.740311475691</v>
      </c>
      <c r="K56" s="19" t="n">
        <f aca="false">IF(D56&gt;0,I56/D56/12,0)</f>
        <v>0</v>
      </c>
      <c r="L56" s="18" t="n">
        <f aca="false">(L55+J56)*(1+Inputs!B14)</f>
        <v>175184.070131717</v>
      </c>
      <c r="M56" s="18" t="n">
        <f aca="false">L56/E56</f>
        <v>175184.070131717</v>
      </c>
      <c r="N56" s="18" t="n">
        <f aca="false">N55+K56*12/E56</f>
        <v>0</v>
      </c>
    </row>
    <row r="57" customFormat="false" ht="15" hidden="false" customHeight="true" outlineLevel="0" collapsed="false">
      <c r="A57" s="13" t="n">
        <v>52</v>
      </c>
      <c r="B57" s="18" t="n">
        <f aca="false">B56+G56+H56+I56</f>
        <v>29954197382240.3</v>
      </c>
      <c r="C57" s="18" t="n">
        <f aca="false">C56*(1+Inputs!B11)*(1+Inputs!B13)</f>
        <v>85970075293259.2</v>
      </c>
      <c r="D57" s="17" t="n">
        <f aca="false">D56*(1+Inputs!B12)</f>
        <v>443262832.575691</v>
      </c>
      <c r="E57" s="16" t="n">
        <f aca="false">E56*(1+Inputs!B13)</f>
        <v>1</v>
      </c>
      <c r="F57" s="17" t="n">
        <f aca="false">MAX(0,D57*Inputs!B12)</f>
        <v>2216314.16287845</v>
      </c>
      <c r="G57" s="18" t="n">
        <f aca="false">Inputs!B6*(C57/D57)*F57</f>
        <v>10746259411.6574</v>
      </c>
      <c r="H57" s="18" t="n">
        <f aca="false">Inputs!B7*C57*Inputs!B11</f>
        <v>214925188233.148</v>
      </c>
      <c r="I57" s="18" t="n">
        <f aca="false">Inputs!B8*B57</f>
        <v>0</v>
      </c>
      <c r="J57" s="18" t="n">
        <f aca="false">IF(D57&gt;0,H57/D57,0)</f>
        <v>484.870763885776</v>
      </c>
      <c r="K57" s="19" t="n">
        <f aca="false">IF(D57&gt;0,I57/D57/12,0)</f>
        <v>0</v>
      </c>
      <c r="L57" s="18" t="n">
        <f aca="false">(L56+J57)*(1+Inputs!B14)</f>
        <v>187087.422053817</v>
      </c>
      <c r="M57" s="18" t="n">
        <f aca="false">L57/E57</f>
        <v>187087.422053817</v>
      </c>
      <c r="N57" s="18" t="n">
        <f aca="false">N56+K57*12/E57</f>
        <v>0</v>
      </c>
    </row>
    <row r="58" customFormat="false" ht="15" hidden="false" customHeight="true" outlineLevel="0" collapsed="false">
      <c r="A58" s="13" t="n">
        <v>53</v>
      </c>
      <c r="B58" s="18" t="n">
        <f aca="false">B57+G57+H57+I57</f>
        <v>30179868829885.1</v>
      </c>
      <c r="C58" s="18" t="n">
        <f aca="false">C57*(1+Inputs!B11)*(1+Inputs!B13)</f>
        <v>87689476799124.4</v>
      </c>
      <c r="D58" s="17" t="n">
        <f aca="false">D57*(1+Inputs!B12)</f>
        <v>445479146.738569</v>
      </c>
      <c r="E58" s="16" t="n">
        <f aca="false">E57*(1+Inputs!B13)</f>
        <v>1</v>
      </c>
      <c r="F58" s="17" t="n">
        <f aca="false">MAX(0,D58*Inputs!B12)</f>
        <v>2227395.73369284</v>
      </c>
      <c r="G58" s="18" t="n">
        <f aca="false">Inputs!B6*(C58/D58)*F58</f>
        <v>10961184599.8905</v>
      </c>
      <c r="H58" s="18" t="n">
        <f aca="false">Inputs!B7*C58*Inputs!B11</f>
        <v>219223691997.811</v>
      </c>
      <c r="I58" s="18" t="n">
        <f aca="false">Inputs!B8*B58</f>
        <v>0</v>
      </c>
      <c r="J58" s="18" t="n">
        <f aca="false">IF(D58&gt;0,H58/D58,0)</f>
        <v>492.107640958698</v>
      </c>
      <c r="K58" s="19" t="n">
        <f aca="false">IF(D58&gt;0,I58/D58/12,0)</f>
        <v>0</v>
      </c>
      <c r="L58" s="18" t="n">
        <f aca="false">(L57+J58)*(1+Inputs!B14)</f>
        <v>199772.199124937</v>
      </c>
      <c r="M58" s="18" t="n">
        <f aca="false">L58/E58</f>
        <v>199772.199124937</v>
      </c>
      <c r="N58" s="18" t="n">
        <f aca="false">N57+K58*12/E58</f>
        <v>0</v>
      </c>
    </row>
    <row r="59" customFormat="false" ht="15" hidden="false" customHeight="true" outlineLevel="0" collapsed="false">
      <c r="A59" s="13" t="n">
        <v>54</v>
      </c>
      <c r="B59" s="18" t="n">
        <f aca="false">B58+G58+H58+I58</f>
        <v>30410053706482.8</v>
      </c>
      <c r="C59" s="18" t="n">
        <f aca="false">C58*(1+Inputs!B11)*(1+Inputs!B13)</f>
        <v>89443266335106.9</v>
      </c>
      <c r="D59" s="17" t="n">
        <f aca="false">D58*(1+Inputs!B12)</f>
        <v>447706542.472262</v>
      </c>
      <c r="E59" s="16" t="n">
        <f aca="false">E58*(1+Inputs!B13)</f>
        <v>1</v>
      </c>
      <c r="F59" s="17" t="n">
        <f aca="false">MAX(0,D59*Inputs!B12)</f>
        <v>2238532.71236131</v>
      </c>
      <c r="G59" s="18" t="n">
        <f aca="false">Inputs!B6*(C59/D59)*F59</f>
        <v>11180408291.8884</v>
      </c>
      <c r="H59" s="18" t="n">
        <f aca="false">Inputs!B7*C59*Inputs!B11</f>
        <v>223608165837.767</v>
      </c>
      <c r="I59" s="18" t="n">
        <f aca="false">Inputs!B8*B59</f>
        <v>0</v>
      </c>
      <c r="J59" s="18" t="n">
        <f aca="false">IF(D59&gt;0,H59/D59,0)</f>
        <v>499.452531122261</v>
      </c>
      <c r="K59" s="19" t="n">
        <f aca="false">IF(D59&gt;0,I59/D59/12,0)</f>
        <v>0</v>
      </c>
      <c r="L59" s="18" t="n">
        <f aca="false">(L58+J59)*(1+Inputs!B14)</f>
        <v>213289.309013703</v>
      </c>
      <c r="M59" s="18" t="n">
        <f aca="false">L59/E59</f>
        <v>213289.309013703</v>
      </c>
      <c r="N59" s="18" t="n">
        <f aca="false">N58+K59*12/E59</f>
        <v>0</v>
      </c>
    </row>
    <row r="60" customFormat="false" ht="15" hidden="false" customHeight="true" outlineLevel="0" collapsed="false">
      <c r="A60" s="13" t="n">
        <v>55</v>
      </c>
      <c r="B60" s="18" t="n">
        <f aca="false">B59+G59+H59+I59</f>
        <v>30644842280612.4</v>
      </c>
      <c r="C60" s="18" t="n">
        <f aca="false">C59*(1+Inputs!B11)*(1+Inputs!B13)</f>
        <v>91232131661809</v>
      </c>
      <c r="D60" s="17" t="n">
        <f aca="false">D59*(1+Inputs!B12)</f>
        <v>449945075.184623</v>
      </c>
      <c r="E60" s="16" t="n">
        <f aca="false">E59*(1+Inputs!B13)</f>
        <v>1</v>
      </c>
      <c r="F60" s="17" t="n">
        <f aca="false">MAX(0,D60*Inputs!B12)</f>
        <v>2249725.37592312</v>
      </c>
      <c r="G60" s="18" t="n">
        <f aca="false">Inputs!B6*(C60/D60)*F60</f>
        <v>11404016457.7261</v>
      </c>
      <c r="H60" s="18" t="n">
        <f aca="false">Inputs!B7*C60*Inputs!B11</f>
        <v>228080329154.523</v>
      </c>
      <c r="I60" s="18" t="n">
        <f aca="false">Inputs!B8*B60</f>
        <v>0</v>
      </c>
      <c r="J60" s="18" t="n">
        <f aca="false">IF(D60&gt;0,H60/D60,0)</f>
        <v>506.907046512146</v>
      </c>
      <c r="K60" s="19" t="n">
        <f aca="false">IF(D60&gt;0,I60/D60/12,0)</f>
        <v>0</v>
      </c>
      <c r="L60" s="18" t="n">
        <f aca="false">(L59+J60)*(1+Inputs!B14)</f>
        <v>227692.970104129</v>
      </c>
      <c r="M60" s="18" t="n">
        <f aca="false">L60/E60</f>
        <v>227692.970104129</v>
      </c>
      <c r="N60" s="18" t="n">
        <f aca="false">N59+K60*12/E60</f>
        <v>0</v>
      </c>
    </row>
    <row r="61" customFormat="false" ht="15" hidden="false" customHeight="true" outlineLevel="0" collapsed="false">
      <c r="A61" s="13" t="n">
        <v>56</v>
      </c>
      <c r="B61" s="18" t="n">
        <f aca="false">B60+G60+H60+I60</f>
        <v>30884326626224.7</v>
      </c>
      <c r="C61" s="18" t="n">
        <f aca="false">C60*(1+Inputs!B11)*(1+Inputs!B13)</f>
        <v>93056774295045.2</v>
      </c>
      <c r="D61" s="17" t="n">
        <f aca="false">D60*(1+Inputs!B12)</f>
        <v>452194800.560546</v>
      </c>
      <c r="E61" s="16" t="n">
        <f aca="false">E60*(1+Inputs!B13)</f>
        <v>1</v>
      </c>
      <c r="F61" s="17" t="n">
        <f aca="false">MAX(0,D61*Inputs!B12)</f>
        <v>2260974.00280273</v>
      </c>
      <c r="G61" s="18" t="n">
        <f aca="false">Inputs!B6*(C61/D61)*F61</f>
        <v>11632096786.8806</v>
      </c>
      <c r="H61" s="18" t="n">
        <f aca="false">Inputs!B7*C61*Inputs!B11</f>
        <v>232641935737.613</v>
      </c>
      <c r="I61" s="18" t="n">
        <f aca="false">Inputs!B8*B61</f>
        <v>0</v>
      </c>
      <c r="J61" s="18" t="n">
        <f aca="false">IF(D61&gt;0,H61/D61,0)</f>
        <v>514.47282332576</v>
      </c>
      <c r="K61" s="19" t="n">
        <f aca="false">IF(D61&gt;0,I61/D61/12,0)</f>
        <v>0</v>
      </c>
      <c r="L61" s="18" t="n">
        <f aca="false">(L60+J61)*(1+Inputs!B14)</f>
        <v>243040.926717739</v>
      </c>
      <c r="M61" s="18" t="n">
        <f aca="false">L61/E61</f>
        <v>243040.926717739</v>
      </c>
      <c r="N61" s="18" t="n">
        <f aca="false">N60+K61*12/E61</f>
        <v>0</v>
      </c>
    </row>
    <row r="62" customFormat="false" ht="15" hidden="false" customHeight="true" outlineLevel="0" collapsed="false">
      <c r="A62" s="13" t="n">
        <v>57</v>
      </c>
      <c r="B62" s="18" t="n">
        <f aca="false">B61+G61+H61+I61</f>
        <v>31128600658749.2</v>
      </c>
      <c r="C62" s="18" t="n">
        <f aca="false">C61*(1+Inputs!B11)*(1+Inputs!B13)</f>
        <v>94917909780946.1</v>
      </c>
      <c r="D62" s="17" t="n">
        <f aca="false">D61*(1+Inputs!B12)</f>
        <v>454455774.563349</v>
      </c>
      <c r="E62" s="16" t="n">
        <f aca="false">E61*(1+Inputs!B13)</f>
        <v>1</v>
      </c>
      <c r="F62" s="17" t="n">
        <f aca="false">MAX(0,D62*Inputs!B12)</f>
        <v>2272278.87281674</v>
      </c>
      <c r="G62" s="18" t="n">
        <f aca="false">Inputs!B6*(C62/D62)*F62</f>
        <v>11864738722.6183</v>
      </c>
      <c r="H62" s="18" t="n">
        <f aca="false">Inputs!B7*C62*Inputs!B11</f>
        <v>237294774452.365</v>
      </c>
      <c r="I62" s="18" t="n">
        <f aca="false">Inputs!B8*B62</f>
        <v>0</v>
      </c>
      <c r="J62" s="18" t="n">
        <f aca="false">IF(D62&gt;0,H62/D62,0)</f>
        <v>522.151522181368</v>
      </c>
      <c r="K62" s="19" t="n">
        <f aca="false">IF(D62&gt;0,I62/D62/12,0)</f>
        <v>0</v>
      </c>
      <c r="L62" s="18" t="n">
        <f aca="false">(L61+J62)*(1+Inputs!B14)</f>
        <v>259394.678325515</v>
      </c>
      <c r="M62" s="18" t="n">
        <f aca="false">L62/E62</f>
        <v>259394.678325515</v>
      </c>
      <c r="N62" s="18" t="n">
        <f aca="false">N61+K62*12/E62</f>
        <v>0</v>
      </c>
    </row>
    <row r="63" customFormat="false" ht="15" hidden="false" customHeight="true" outlineLevel="0" collapsed="false">
      <c r="A63" s="13" t="n">
        <v>58</v>
      </c>
      <c r="B63" s="18" t="n">
        <f aca="false">B62+G62+H62+I62</f>
        <v>31377760171924.2</v>
      </c>
      <c r="C63" s="18" t="n">
        <f aca="false">C62*(1+Inputs!B11)*(1+Inputs!B13)</f>
        <v>96816267976565</v>
      </c>
      <c r="D63" s="17" t="n">
        <f aca="false">D62*(1+Inputs!B12)</f>
        <v>456728053.436165</v>
      </c>
      <c r="E63" s="16" t="n">
        <f aca="false">E62*(1+Inputs!B13)</f>
        <v>1</v>
      </c>
      <c r="F63" s="17" t="n">
        <f aca="false">MAX(0,D63*Inputs!B12)</f>
        <v>2283640.26718083</v>
      </c>
      <c r="G63" s="18" t="n">
        <f aca="false">Inputs!B6*(C63/D63)*F63</f>
        <v>12102033497.0706</v>
      </c>
      <c r="H63" s="18" t="n">
        <f aca="false">Inputs!B7*C63*Inputs!B11</f>
        <v>242040669941.413</v>
      </c>
      <c r="I63" s="18" t="n">
        <f aca="false">Inputs!B8*B63</f>
        <v>0</v>
      </c>
      <c r="J63" s="18" t="n">
        <f aca="false">IF(D63&gt;0,H63/D63,0)</f>
        <v>529.944828482583</v>
      </c>
      <c r="K63" s="19" t="n">
        <f aca="false">IF(D63&gt;0,I63/D63/12,0)</f>
        <v>0</v>
      </c>
      <c r="L63" s="18" t="n">
        <f aca="false">(L62+J63)*(1+Inputs!B14)</f>
        <v>276819.723659008</v>
      </c>
      <c r="M63" s="18" t="n">
        <f aca="false">L63/E63</f>
        <v>276819.723659008</v>
      </c>
      <c r="N63" s="18" t="n">
        <f aca="false">N62+K63*12/E63</f>
        <v>0</v>
      </c>
    </row>
    <row r="64" customFormat="false" ht="15" hidden="false" customHeight="true" outlineLevel="0" collapsed="false">
      <c r="A64" s="13" t="n">
        <v>59</v>
      </c>
      <c r="B64" s="18" t="n">
        <f aca="false">B63+G63+H63+I63</f>
        <v>31631902875362.6</v>
      </c>
      <c r="C64" s="18" t="n">
        <f aca="false">C63*(1+Inputs!B11)*(1+Inputs!B13)</f>
        <v>98752593336096.3</v>
      </c>
      <c r="D64" s="17" t="n">
        <f aca="false">D63*(1+Inputs!B12)</f>
        <v>459011693.703346</v>
      </c>
      <c r="E64" s="16" t="n">
        <f aca="false">E63*(1+Inputs!B13)</f>
        <v>1</v>
      </c>
      <c r="F64" s="17" t="n">
        <f aca="false">MAX(0,D64*Inputs!B12)</f>
        <v>2295058.46851673</v>
      </c>
      <c r="G64" s="18" t="n">
        <f aca="false">Inputs!B6*(C64/D64)*F64</f>
        <v>12344074167.012</v>
      </c>
      <c r="H64" s="18" t="n">
        <f aca="false">Inputs!B7*C64*Inputs!B11</f>
        <v>246881483340.241</v>
      </c>
      <c r="I64" s="18" t="n">
        <f aca="false">Inputs!B8*B64</f>
        <v>0</v>
      </c>
      <c r="J64" s="18" t="n">
        <f aca="false">IF(D64&gt;0,H64/D64,0)</f>
        <v>537.854452788293</v>
      </c>
      <c r="K64" s="19" t="n">
        <f aca="false">IF(D64&gt;0,I64/D64/12,0)</f>
        <v>0</v>
      </c>
      <c r="L64" s="18" t="n">
        <f aca="false">(L63+J64)*(1+Inputs!B14)</f>
        <v>295385.820689063</v>
      </c>
      <c r="M64" s="18" t="n">
        <f aca="false">L64/E64</f>
        <v>295385.820689063</v>
      </c>
      <c r="N64" s="18" t="n">
        <f aca="false">N63+K64*12/E64</f>
        <v>0</v>
      </c>
    </row>
    <row r="65" customFormat="false" ht="15" hidden="false" customHeight="true" outlineLevel="0" collapsed="false">
      <c r="A65" s="13" t="n">
        <v>60</v>
      </c>
      <c r="B65" s="18" t="n">
        <f aca="false">B64+G64+H64+I64</f>
        <v>31891128432869.9</v>
      </c>
      <c r="C65" s="18" t="n">
        <f aca="false">C64*(1+Inputs!B11)*(1+Inputs!B13)</f>
        <v>100727645202818</v>
      </c>
      <c r="D65" s="17" t="n">
        <f aca="false">D64*(1+Inputs!B12)</f>
        <v>461306752.171863</v>
      </c>
      <c r="E65" s="16" t="n">
        <f aca="false">E64*(1+Inputs!B13)</f>
        <v>1</v>
      </c>
      <c r="F65" s="17" t="n">
        <f aca="false">MAX(0,D65*Inputs!B12)</f>
        <v>2306533.76085931</v>
      </c>
      <c r="G65" s="18" t="n">
        <f aca="false">Inputs!B6*(C65/D65)*F65</f>
        <v>12590955650.3523</v>
      </c>
      <c r="H65" s="18" t="n">
        <f aca="false">Inputs!B7*C65*Inputs!B11</f>
        <v>251819113007.046</v>
      </c>
      <c r="I65" s="18" t="n">
        <f aca="false">Inputs!B8*B65</f>
        <v>0</v>
      </c>
      <c r="J65" s="18" t="n">
        <f aca="false">IF(D65&gt;0,H65/D65,0)</f>
        <v>545.882131188118</v>
      </c>
      <c r="K65" s="19" t="n">
        <f aca="false">IF(D65&gt;0,I65/D65/12,0)</f>
        <v>0</v>
      </c>
      <c r="L65" s="18" t="n">
        <f aca="false">(L64+J65)*(1+Inputs!B14)</f>
        <v>315167.263503567</v>
      </c>
      <c r="M65" s="18" t="n">
        <f aca="false">L65/E65</f>
        <v>315167.263503567</v>
      </c>
      <c r="N65" s="18" t="n">
        <f aca="false">N64+K65*12/E65</f>
        <v>0</v>
      </c>
    </row>
    <row r="66" customFormat="false" ht="15" hidden="false" customHeight="true" outlineLevel="0" collapsed="false">
      <c r="A66" s="13" t="n">
        <v>61</v>
      </c>
      <c r="B66" s="18" t="n">
        <f aca="false">B65+G65+H65+I65</f>
        <v>32155538501527.3</v>
      </c>
      <c r="C66" s="18" t="n">
        <f aca="false">C65*(1+Inputs!B11)*(1+Inputs!B13)</f>
        <v>102742198106875</v>
      </c>
      <c r="D66" s="17" t="n">
        <f aca="false">D65*(1+Inputs!B12)</f>
        <v>463613285.932722</v>
      </c>
      <c r="E66" s="16" t="n">
        <f aca="false">E65*(1+Inputs!B13)</f>
        <v>1</v>
      </c>
      <c r="F66" s="17" t="n">
        <f aca="false">MAX(0,D66*Inputs!B12)</f>
        <v>2318066.42966361</v>
      </c>
      <c r="G66" s="18" t="n">
        <f aca="false">Inputs!B6*(C66/D66)*F66</f>
        <v>12842774763.3593</v>
      </c>
      <c r="H66" s="18" t="n">
        <f aca="false">Inputs!B7*C66*Inputs!B11</f>
        <v>256855495267.187</v>
      </c>
      <c r="I66" s="18" t="n">
        <f aca="false">Inputs!B8*B66</f>
        <v>0</v>
      </c>
      <c r="J66" s="18" t="n">
        <f aca="false">IF(D66&gt;0,H66/D66,0)</f>
        <v>554.029625683463</v>
      </c>
      <c r="K66" s="19" t="n">
        <f aca="false">IF(D66&gt;0,I66/D66/12,0)</f>
        <v>0</v>
      </c>
      <c r="L66" s="18" t="n">
        <f aca="false">(L65+J66)*(1+Inputs!B14)</f>
        <v>336243.177182652</v>
      </c>
      <c r="M66" s="18" t="n">
        <f aca="false">L66/E66</f>
        <v>336243.177182652</v>
      </c>
      <c r="N66" s="18" t="n">
        <f aca="false">N65+K66*12/E66</f>
        <v>0</v>
      </c>
    </row>
    <row r="67" customFormat="false" ht="15" hidden="false" customHeight="true" outlineLevel="0" collapsed="false">
      <c r="A67" s="13" t="n">
        <v>62</v>
      </c>
      <c r="B67" s="18" t="n">
        <f aca="false">B66+G66+H66+I66</f>
        <v>32425236771557.8</v>
      </c>
      <c r="C67" s="18" t="n">
        <f aca="false">C66*(1+Inputs!B11)*(1+Inputs!B13)</f>
        <v>104797042069012</v>
      </c>
      <c r="D67" s="17" t="n">
        <f aca="false">D66*(1+Inputs!B12)</f>
        <v>465931352.362386</v>
      </c>
      <c r="E67" s="16" t="n">
        <f aca="false">E66*(1+Inputs!B13)</f>
        <v>1</v>
      </c>
      <c r="F67" s="17" t="n">
        <f aca="false">MAX(0,D67*Inputs!B12)</f>
        <v>2329656.76181193</v>
      </c>
      <c r="G67" s="18" t="n">
        <f aca="false">Inputs!B6*(C67/D67)*F67</f>
        <v>13099630258.6265</v>
      </c>
      <c r="H67" s="18" t="n">
        <f aca="false">Inputs!B7*C67*Inputs!B11</f>
        <v>261992605172.53</v>
      </c>
      <c r="I67" s="18" t="n">
        <f aca="false">Inputs!B8*B67</f>
        <v>0</v>
      </c>
      <c r="J67" s="18" t="n">
        <f aca="false">IF(D67&gt;0,H67/D67,0)</f>
        <v>562.298724574261</v>
      </c>
      <c r="K67" s="19" t="n">
        <f aca="false">IF(D67&gt;0,I67/D67/12,0)</f>
        <v>0</v>
      </c>
      <c r="L67" s="18" t="n">
        <f aca="false">(L66+J67)*(1+Inputs!B14)</f>
        <v>358697.831841196</v>
      </c>
      <c r="M67" s="18" t="n">
        <f aca="false">L67/E67</f>
        <v>358697.831841196</v>
      </c>
      <c r="N67" s="18" t="n">
        <f aca="false">N66+K67*12/E67</f>
        <v>0</v>
      </c>
    </row>
    <row r="68" customFormat="false" ht="15" hidden="false" customHeight="true" outlineLevel="0" collapsed="false">
      <c r="A68" s="13" t="n">
        <v>63</v>
      </c>
      <c r="B68" s="18" t="n">
        <f aca="false">B67+G67+H67+I67</f>
        <v>32700329006989</v>
      </c>
      <c r="C68" s="18" t="n">
        <f aca="false">C67*(1+Inputs!B11)*(1+Inputs!B13)</f>
        <v>106892982910392</v>
      </c>
      <c r="D68" s="17" t="n">
        <f aca="false">D67*(1+Inputs!B12)</f>
        <v>468261009.124198</v>
      </c>
      <c r="E68" s="16" t="n">
        <f aca="false">E67*(1+Inputs!B13)</f>
        <v>1</v>
      </c>
      <c r="F68" s="17" t="n">
        <f aca="false">MAX(0,D68*Inputs!B12)</f>
        <v>2341305.04562099</v>
      </c>
      <c r="G68" s="18" t="n">
        <f aca="false">Inputs!B6*(C68/D68)*F68</f>
        <v>13361622863.799</v>
      </c>
      <c r="H68" s="18" t="n">
        <f aca="false">Inputs!B7*C68*Inputs!B11</f>
        <v>267232457275.981</v>
      </c>
      <c r="I68" s="18" t="n">
        <f aca="false">Inputs!B8*B68</f>
        <v>0</v>
      </c>
      <c r="J68" s="18" t="n">
        <f aca="false">IF(D68&gt;0,H68/D68,0)</f>
        <v>570.691242851489</v>
      </c>
      <c r="K68" s="19" t="n">
        <f aca="false">IF(D68&gt;0,I68/D68/12,0)</f>
        <v>0</v>
      </c>
      <c r="L68" s="18" t="n">
        <f aca="false">(L67+J68)*(1+Inputs!B14)</f>
        <v>382620.97708451</v>
      </c>
      <c r="M68" s="18" t="n">
        <f aca="false">L68/E68</f>
        <v>382620.97708451</v>
      </c>
      <c r="N68" s="18" t="n">
        <f aca="false">N67+K68*12/E68</f>
        <v>0</v>
      </c>
    </row>
    <row r="69" customFormat="false" ht="15" hidden="false" customHeight="true" outlineLevel="0" collapsed="false">
      <c r="A69" s="13" t="n">
        <v>64</v>
      </c>
      <c r="B69" s="18" t="n">
        <f aca="false">B68+G68+H68+I68</f>
        <v>32980923087128.8</v>
      </c>
      <c r="C69" s="18" t="n">
        <f aca="false">C68*(1+Inputs!B11)*(1+Inputs!B13)</f>
        <v>109030842568600</v>
      </c>
      <c r="D69" s="17" t="n">
        <f aca="false">D68*(1+Inputs!B12)</f>
        <v>470602314.169818</v>
      </c>
      <c r="E69" s="16" t="n">
        <f aca="false">E68*(1+Inputs!B13)</f>
        <v>1</v>
      </c>
      <c r="F69" s="17" t="n">
        <f aca="false">MAX(0,D69*Inputs!B12)</f>
        <v>2353011.57084909</v>
      </c>
      <c r="G69" s="18" t="n">
        <f aca="false">Inputs!B6*(C69/D69)*F69</f>
        <v>13628855321.075</v>
      </c>
      <c r="H69" s="18" t="n">
        <f aca="false">Inputs!B7*C69*Inputs!B11</f>
        <v>272577106421.501</v>
      </c>
      <c r="I69" s="18" t="n">
        <f aca="false">Inputs!B8*B69</f>
        <v>0</v>
      </c>
      <c r="J69" s="18" t="n">
        <f aca="false">IF(D69&gt;0,H69/D69,0)</f>
        <v>579.209022595542</v>
      </c>
      <c r="K69" s="19" t="n">
        <f aca="false">IF(D69&gt;0,I69/D69/12,0)</f>
        <v>0</v>
      </c>
      <c r="L69" s="18" t="n">
        <f aca="false">(L68+J69)*(1+Inputs!B14)</f>
        <v>408108.198204068</v>
      </c>
      <c r="M69" s="18" t="n">
        <f aca="false">L69/E69</f>
        <v>408108.198204068</v>
      </c>
      <c r="N69" s="18" t="n">
        <f aca="false">N68+K69*12/E69</f>
        <v>0</v>
      </c>
    </row>
    <row r="70" customFormat="false" ht="15" hidden="false" customHeight="true" outlineLevel="0" collapsed="false">
      <c r="A70" s="13" t="n">
        <v>65</v>
      </c>
      <c r="B70" s="18" t="n">
        <f aca="false">B69+G69+H69+I69</f>
        <v>33267129048871.4</v>
      </c>
      <c r="C70" s="18" t="n">
        <f aca="false">C69*(1+Inputs!B11)*(1+Inputs!B13)</f>
        <v>111211459419972</v>
      </c>
      <c r="D70" s="17" t="n">
        <f aca="false">D69*(1+Inputs!B12)</f>
        <v>472955325.740668</v>
      </c>
      <c r="E70" s="16" t="n">
        <f aca="false">E69*(1+Inputs!B13)</f>
        <v>1</v>
      </c>
      <c r="F70" s="17" t="n">
        <f aca="false">MAX(0,D70*Inputs!B12)</f>
        <v>2364776.62870334</v>
      </c>
      <c r="G70" s="18" t="n">
        <f aca="false">Inputs!B6*(C70/D70)*F70</f>
        <v>13901432427.4965</v>
      </c>
      <c r="H70" s="18" t="n">
        <f aca="false">Inputs!B7*C70*Inputs!B11</f>
        <v>278028648549.931</v>
      </c>
      <c r="I70" s="18" t="n">
        <f aca="false">Inputs!B8*B70</f>
        <v>0</v>
      </c>
      <c r="J70" s="18" t="n">
        <f aca="false">IF(D70&gt;0,H70/D70,0)</f>
        <v>587.85393338055</v>
      </c>
      <c r="K70" s="19" t="n">
        <f aca="false">IF(D70&gt;0,I70/D70/12,0)</f>
        <v>0</v>
      </c>
      <c r="L70" s="18" t="n">
        <f aca="false">(L69+J70)*(1+Inputs!B14)</f>
        <v>435261.295526382</v>
      </c>
      <c r="M70" s="18" t="n">
        <f aca="false">L70/E70</f>
        <v>435261.295526382</v>
      </c>
      <c r="N70" s="18" t="n">
        <f aca="false">N69+K70*12/E70</f>
        <v>0</v>
      </c>
    </row>
    <row r="71" customFormat="false" ht="15" hidden="false" customHeight="true" outlineLevel="0" collapsed="false">
      <c r="A71" s="13" t="n">
        <v>66</v>
      </c>
      <c r="B71" s="18" t="n">
        <f aca="false">B70+G70+H70+I70</f>
        <v>33559059129848.8</v>
      </c>
      <c r="C71" s="18" t="n">
        <f aca="false">C70*(1+Inputs!B11)*(1+Inputs!B13)</f>
        <v>113435688608372</v>
      </c>
      <c r="D71" s="17" t="n">
        <f aca="false">D70*(1+Inputs!B12)</f>
        <v>475320102.369371</v>
      </c>
      <c r="E71" s="16" t="n">
        <f aca="false">E70*(1+Inputs!B13)</f>
        <v>1</v>
      </c>
      <c r="F71" s="17" t="n">
        <f aca="false">MAX(0,D71*Inputs!B12)</f>
        <v>2376600.51184685</v>
      </c>
      <c r="G71" s="18" t="n">
        <f aca="false">Inputs!B6*(C71/D71)*F71</f>
        <v>14179461076.0465</v>
      </c>
      <c r="H71" s="18" t="n">
        <f aca="false">Inputs!B7*C71*Inputs!B11</f>
        <v>283589221520.929</v>
      </c>
      <c r="I71" s="18" t="n">
        <f aca="false">Inputs!B8*B71</f>
        <v>0</v>
      </c>
      <c r="J71" s="18" t="n">
        <f aca="false">IF(D71&gt;0,H71/D71,0)</f>
        <v>596.627872684737</v>
      </c>
      <c r="K71" s="19" t="n">
        <f aca="false">IF(D71&gt;0,I71/D71/12,0)</f>
        <v>0</v>
      </c>
      <c r="L71" s="18" t="n">
        <f aca="false">(L70+J71)*(1+Inputs!B14)</f>
        <v>464188.688420006</v>
      </c>
      <c r="M71" s="18" t="n">
        <f aca="false">L71/E71</f>
        <v>464188.688420006</v>
      </c>
      <c r="N71" s="18" t="n">
        <f aca="false">N70+K71*12/E71</f>
        <v>0</v>
      </c>
    </row>
    <row r="72" customFormat="false" ht="15" hidden="false" customHeight="true" outlineLevel="0" collapsed="false">
      <c r="A72" s="13" t="n">
        <v>67</v>
      </c>
      <c r="B72" s="18" t="n">
        <f aca="false">B71+G71+H71+I71</f>
        <v>33856827812445.8</v>
      </c>
      <c r="C72" s="18" t="n">
        <f aca="false">C71*(1+Inputs!B11)*(1+Inputs!B13)</f>
        <v>115704402380539</v>
      </c>
      <c r="D72" s="17" t="n">
        <f aca="false">D71*(1+Inputs!B12)</f>
        <v>477696702.881218</v>
      </c>
      <c r="E72" s="16" t="n">
        <f aca="false">E71*(1+Inputs!B13)</f>
        <v>1</v>
      </c>
      <c r="F72" s="17" t="n">
        <f aca="false">MAX(0,D72*Inputs!B12)</f>
        <v>2388483.51440609</v>
      </c>
      <c r="G72" s="18" t="n">
        <f aca="false">Inputs!B6*(C72/D72)*F72</f>
        <v>14463050297.5674</v>
      </c>
      <c r="H72" s="18" t="n">
        <f aca="false">Inputs!B7*C72*Inputs!B11</f>
        <v>289261005951.348</v>
      </c>
      <c r="I72" s="18" t="n">
        <f aca="false">Inputs!B8*B72</f>
        <v>0</v>
      </c>
      <c r="J72" s="18" t="n">
        <f aca="false">IF(D72&gt;0,H72/D72,0)</f>
        <v>605.532766306897</v>
      </c>
      <c r="K72" s="19" t="n">
        <f aca="false">IF(D72&gt;0,I72/D72/12,0)</f>
        <v>0</v>
      </c>
      <c r="L72" s="18" t="n">
        <f aca="false">(L71+J72)*(1+Inputs!B14)</f>
        <v>495005.845563424</v>
      </c>
      <c r="M72" s="18" t="n">
        <f aca="false">L72/E72</f>
        <v>495005.845563424</v>
      </c>
      <c r="N72" s="18" t="n">
        <f aca="false">N71+K72*12/E72</f>
        <v>0</v>
      </c>
    </row>
    <row r="73" customFormat="false" ht="15" hidden="false" customHeight="true" outlineLevel="0" collapsed="false">
      <c r="A73" s="13" t="n">
        <v>68</v>
      </c>
      <c r="B73" s="18" t="n">
        <f aca="false">B72+G72+H72+I72</f>
        <v>34160551868694.7</v>
      </c>
      <c r="C73" s="18" t="n">
        <f aca="false">C72*(1+Inputs!B11)*(1+Inputs!B13)</f>
        <v>118018490428150</v>
      </c>
      <c r="D73" s="17" t="n">
        <f aca="false">D72*(1+Inputs!B12)</f>
        <v>480085186.395624</v>
      </c>
      <c r="E73" s="16" t="n">
        <f aca="false">E72*(1+Inputs!B13)</f>
        <v>1</v>
      </c>
      <c r="F73" s="17" t="n">
        <f aca="false">MAX(0,D73*Inputs!B12)</f>
        <v>2400425.93197812</v>
      </c>
      <c r="G73" s="18" t="n">
        <f aca="false">Inputs!B6*(C73/D73)*F73</f>
        <v>14752311303.5187</v>
      </c>
      <c r="H73" s="18" t="n">
        <f aca="false">Inputs!B7*C73*Inputs!B11</f>
        <v>295046226070.375</v>
      </c>
      <c r="I73" s="18" t="n">
        <f aca="false">Inputs!B8*B73</f>
        <v>0</v>
      </c>
      <c r="J73" s="18" t="n">
        <f aca="false">IF(D73&gt;0,H73/D73,0)</f>
        <v>614.57056878909</v>
      </c>
      <c r="K73" s="19" t="n">
        <f aca="false">IF(D73&gt;0,I73/D73/12,0)</f>
        <v>0</v>
      </c>
      <c r="L73" s="18" t="n">
        <f aca="false">(L72+J73)*(1+Inputs!B14)</f>
        <v>527835.743180807</v>
      </c>
      <c r="M73" s="18" t="n">
        <f aca="false">L73/E73</f>
        <v>527835.743180807</v>
      </c>
      <c r="N73" s="18" t="n">
        <f aca="false">N72+K73*12/E73</f>
        <v>0</v>
      </c>
    </row>
    <row r="74" customFormat="false" ht="15" hidden="false" customHeight="true" outlineLevel="0" collapsed="false">
      <c r="A74" s="13" t="n">
        <v>69</v>
      </c>
      <c r="B74" s="18" t="n">
        <f aca="false">B73+G73+H73+I73</f>
        <v>34470350406068.6</v>
      </c>
      <c r="C74" s="18" t="n">
        <f aca="false">C73*(1+Inputs!B11)*(1+Inputs!B13)</f>
        <v>120378860236713</v>
      </c>
      <c r="D74" s="17" t="n">
        <f aca="false">D73*(1+Inputs!B12)</f>
        <v>482485612.327602</v>
      </c>
      <c r="E74" s="16" t="n">
        <f aca="false">E73*(1+Inputs!B13)</f>
        <v>1</v>
      </c>
      <c r="F74" s="17" t="n">
        <f aca="false">MAX(0,D74*Inputs!B12)</f>
        <v>2412428.06163801</v>
      </c>
      <c r="G74" s="18" t="n">
        <f aca="false">Inputs!B6*(C74/D74)*F74</f>
        <v>15047357529.5891</v>
      </c>
      <c r="H74" s="18" t="n">
        <f aca="false">Inputs!B7*C74*Inputs!B11</f>
        <v>300947150591.782</v>
      </c>
      <c r="I74" s="18" t="n">
        <f aca="false">Inputs!B8*B74</f>
        <v>0</v>
      </c>
      <c r="J74" s="18" t="n">
        <f aca="false">IF(D74&gt;0,H74/D74,0)</f>
        <v>623.743263845644</v>
      </c>
      <c r="K74" s="19" t="n">
        <f aca="false">IF(D74&gt;0,I74/D74/12,0)</f>
        <v>0</v>
      </c>
      <c r="L74" s="18" t="n">
        <f aca="false">(L73+J74)*(1+Inputs!B14)</f>
        <v>562809.353063555</v>
      </c>
      <c r="M74" s="18" t="n">
        <f aca="false">L74/E74</f>
        <v>562809.353063555</v>
      </c>
      <c r="N74" s="18" t="n">
        <f aca="false">N73+K74*12/E74</f>
        <v>0</v>
      </c>
    </row>
    <row r="75" customFormat="false" ht="15" hidden="false" customHeight="true" outlineLevel="0" collapsed="false">
      <c r="A75" s="13" t="n">
        <v>70</v>
      </c>
      <c r="B75" s="18" t="n">
        <f aca="false">B74+G74+H74+I74</f>
        <v>34786344914189.9</v>
      </c>
      <c r="C75" s="18" t="n">
        <f aca="false">C74*(1+Inputs!B11)*(1+Inputs!B13)</f>
        <v>122786437441447</v>
      </c>
      <c r="D75" s="17" t="n">
        <f aca="false">D74*(1+Inputs!B12)</f>
        <v>484898040.38924</v>
      </c>
      <c r="E75" s="16" t="n">
        <f aca="false">E74*(1+Inputs!B13)</f>
        <v>1</v>
      </c>
      <c r="F75" s="17" t="n">
        <f aca="false">MAX(0,D75*Inputs!B12)</f>
        <v>2424490.2019462</v>
      </c>
      <c r="G75" s="18" t="n">
        <f aca="false">Inputs!B6*(C75/D75)*F75</f>
        <v>15348304680.1809</v>
      </c>
      <c r="H75" s="18" t="n">
        <f aca="false">Inputs!B7*C75*Inputs!B11</f>
        <v>306966093603.618</v>
      </c>
      <c r="I75" s="18" t="n">
        <f aca="false">Inputs!B8*B75</f>
        <v>0</v>
      </c>
      <c r="J75" s="18" t="n">
        <f aca="false">IF(D75&gt;0,H75/D75,0)</f>
        <v>633.052864798564</v>
      </c>
      <c r="K75" s="19" t="n">
        <f aca="false">IF(D75&gt;0,I75/D75/12,0)</f>
        <v>0</v>
      </c>
      <c r="L75" s="18" t="n">
        <f aca="false">(L74+J75)*(1+Inputs!B14)</f>
        <v>600066.162313696</v>
      </c>
      <c r="M75" s="18" t="n">
        <f aca="false">L75/E75</f>
        <v>600066.162313696</v>
      </c>
      <c r="N75" s="18" t="n">
        <f aca="false">N74+K75*12/E75</f>
        <v>0</v>
      </c>
    </row>
    <row r="76" customFormat="false" ht="15" hidden="false" customHeight="true" outlineLevel="0" collapsed="false">
      <c r="A76" s="13" t="n">
        <v>71</v>
      </c>
      <c r="B76" s="18" t="n">
        <f aca="false">B75+G75+H75+I75</f>
        <v>35108659312473.7</v>
      </c>
      <c r="C76" s="18" t="n">
        <f aca="false">C75*(1+Inputs!B11)*(1+Inputs!B13)</f>
        <v>125242166190276</v>
      </c>
      <c r="D76" s="17" t="n">
        <f aca="false">D75*(1+Inputs!B12)</f>
        <v>487322530.591186</v>
      </c>
      <c r="E76" s="16" t="n">
        <f aca="false">E75*(1+Inputs!B13)</f>
        <v>1</v>
      </c>
      <c r="F76" s="17" t="n">
        <f aca="false">MAX(0,D76*Inputs!B12)</f>
        <v>2436612.65295593</v>
      </c>
      <c r="G76" s="18" t="n">
        <f aca="false">Inputs!B6*(C76/D76)*F76</f>
        <v>15655270773.7845</v>
      </c>
      <c r="H76" s="18" t="n">
        <f aca="false">Inputs!B7*C76*Inputs!B11</f>
        <v>313105415475.69</v>
      </c>
      <c r="I76" s="18" t="n">
        <f aca="false">Inputs!B8*B76</f>
        <v>0</v>
      </c>
      <c r="J76" s="18" t="n">
        <f aca="false">IF(D76&gt;0,H76/D76,0)</f>
        <v>642.501415019438</v>
      </c>
      <c r="K76" s="19" t="n">
        <f aca="false">IF(D76&gt;0,I76/D76/12,0)</f>
        <v>0</v>
      </c>
      <c r="L76" s="18" t="n">
        <f aca="false">(L75+J76)*(1+Inputs!B14)</f>
        <v>639754.726871082</v>
      </c>
      <c r="M76" s="18" t="n">
        <f aca="false">L76/E76</f>
        <v>639754.726871082</v>
      </c>
      <c r="N76" s="18" t="n">
        <f aca="false">N75+K76*12/E76</f>
        <v>0</v>
      </c>
    </row>
    <row r="77" customFormat="false" ht="15" hidden="false" customHeight="true" outlineLevel="0" collapsed="false">
      <c r="A77" s="13" t="n">
        <v>72</v>
      </c>
      <c r="B77" s="18" t="n">
        <f aca="false">B76+G76+H76+I76</f>
        <v>35437419998723.2</v>
      </c>
      <c r="C77" s="18" t="n">
        <f aca="false">C76*(1+Inputs!B11)*(1+Inputs!B13)</f>
        <v>127747009514082</v>
      </c>
      <c r="D77" s="17" t="n">
        <f aca="false">D76*(1+Inputs!B12)</f>
        <v>489759143.244142</v>
      </c>
      <c r="E77" s="16" t="n">
        <f aca="false">E76*(1+Inputs!B13)</f>
        <v>1</v>
      </c>
      <c r="F77" s="17" t="n">
        <f aca="false">MAX(0,D77*Inputs!B12)</f>
        <v>2448795.71622071</v>
      </c>
      <c r="G77" s="18" t="n">
        <f aca="false">Inputs!B6*(C77/D77)*F77</f>
        <v>15968376189.2602</v>
      </c>
      <c r="H77" s="18" t="n">
        <f aca="false">Inputs!B7*C77*Inputs!B11</f>
        <v>319367523785.204</v>
      </c>
      <c r="I77" s="18" t="n">
        <f aca="false">Inputs!B8*B77</f>
        <v>0</v>
      </c>
      <c r="J77" s="18" t="n">
        <f aca="false">IF(D77&gt;0,H77/D77,0)</f>
        <v>652.090988377937</v>
      </c>
      <c r="K77" s="19" t="n">
        <f aca="false">IF(D77&gt;0,I77/D77/12,0)</f>
        <v>0</v>
      </c>
      <c r="L77" s="18" t="n">
        <f aca="false">(L76+J77)*(1+Inputs!B14)</f>
        <v>682033.261020325</v>
      </c>
      <c r="M77" s="18" t="n">
        <f aca="false">L77/E77</f>
        <v>682033.261020325</v>
      </c>
      <c r="N77" s="18" t="n">
        <f aca="false">N76+K77*12/E77</f>
        <v>0</v>
      </c>
    </row>
    <row r="78" customFormat="false" ht="15" hidden="false" customHeight="true" outlineLevel="0" collapsed="false">
      <c r="A78" s="13" t="n">
        <v>73</v>
      </c>
      <c r="B78" s="18" t="n">
        <f aca="false">B77+G77+H77+I77</f>
        <v>35772755898697.7</v>
      </c>
      <c r="C78" s="18" t="n">
        <f aca="false">C77*(1+Inputs!B11)*(1+Inputs!B13)</f>
        <v>130301949704363</v>
      </c>
      <c r="D78" s="17" t="n">
        <f aca="false">D77*(1+Inputs!B12)</f>
        <v>492207938.960362</v>
      </c>
      <c r="E78" s="16" t="n">
        <f aca="false">E77*(1+Inputs!B13)</f>
        <v>1</v>
      </c>
      <c r="F78" s="17" t="n">
        <f aca="false">MAX(0,D78*Inputs!B12)</f>
        <v>2461039.69480181</v>
      </c>
      <c r="G78" s="18" t="n">
        <f aca="false">Inputs!B6*(C78/D78)*F78</f>
        <v>16287743713.0454</v>
      </c>
      <c r="H78" s="18" t="n">
        <f aca="false">Inputs!B7*C78*Inputs!B11</f>
        <v>325754874260.908</v>
      </c>
      <c r="I78" s="18" t="n">
        <f aca="false">Inputs!B8*B78</f>
        <v>0</v>
      </c>
      <c r="J78" s="18" t="n">
        <f aca="false">IF(D78&gt;0,H78/D78,0)</f>
        <v>661.823689697011</v>
      </c>
      <c r="K78" s="19" t="n">
        <f aca="false">IF(D78&gt;0,I78/D78/12,0)</f>
        <v>0</v>
      </c>
      <c r="L78" s="18" t="n">
        <f aca="false">(L77+J78)*(1+Inputs!B14)</f>
        <v>727070.265216173</v>
      </c>
      <c r="M78" s="18" t="n">
        <f aca="false">L78/E78</f>
        <v>727070.265216173</v>
      </c>
      <c r="N78" s="18" t="n">
        <f aca="false">N77+K78*12/E78</f>
        <v>0</v>
      </c>
    </row>
    <row r="79" customFormat="false" ht="15" hidden="false" customHeight="true" outlineLevel="0" collapsed="false">
      <c r="A79" s="13" t="n">
        <v>74</v>
      </c>
      <c r="B79" s="18" t="n">
        <f aca="false">B78+G78+H78+I78</f>
        <v>36114798516671.6</v>
      </c>
      <c r="C79" s="18" t="n">
        <f aca="false">C78*(1+Inputs!B11)*(1+Inputs!B13)</f>
        <v>132907988698451</v>
      </c>
      <c r="D79" s="17" t="n">
        <f aca="false">D78*(1+Inputs!B12)</f>
        <v>494668978.655164</v>
      </c>
      <c r="E79" s="16" t="n">
        <f aca="false">E78*(1+Inputs!B13)</f>
        <v>1</v>
      </c>
      <c r="F79" s="17" t="n">
        <f aca="false">MAX(0,D79*Inputs!B12)</f>
        <v>2473344.89327582</v>
      </c>
      <c r="G79" s="18" t="n">
        <f aca="false">Inputs!B6*(C79/D79)*F79</f>
        <v>16613498587.3063</v>
      </c>
      <c r="H79" s="18" t="n">
        <f aca="false">Inputs!B7*C79*Inputs!B11</f>
        <v>332269971746.126</v>
      </c>
      <c r="I79" s="18" t="n">
        <f aca="false">Inputs!B8*B79</f>
        <v>0</v>
      </c>
      <c r="J79" s="18" t="n">
        <f aca="false">IF(D79&gt;0,H79/D79,0)</f>
        <v>671.701655214877</v>
      </c>
      <c r="K79" s="19" t="n">
        <f aca="false">IF(D79&gt;0,I79/D79/12,0)</f>
        <v>0</v>
      </c>
      <c r="L79" s="18" t="n">
        <f aca="false">(L78+J79)*(1+Inputs!B14)</f>
        <v>775045.194718028</v>
      </c>
      <c r="M79" s="18" t="n">
        <f aca="false">L79/E79</f>
        <v>775045.194718028</v>
      </c>
      <c r="N79" s="18" t="n">
        <f aca="false">N78+K79*12/E79</f>
        <v>0</v>
      </c>
    </row>
    <row r="80" customFormat="false" ht="15" hidden="false" customHeight="true" outlineLevel="0" collapsed="false">
      <c r="A80" s="13" t="n">
        <v>75</v>
      </c>
      <c r="B80" s="18" t="n">
        <f aca="false">B79+G79+H79+I79</f>
        <v>36463681987005.1</v>
      </c>
      <c r="C80" s="18" t="n">
        <f aca="false">C79*(1+Inputs!B11)*(1+Inputs!B13)</f>
        <v>135566148472420</v>
      </c>
      <c r="D80" s="17" t="n">
        <f aca="false">D79*(1+Inputs!B12)</f>
        <v>497142323.54844</v>
      </c>
      <c r="E80" s="16" t="n">
        <f aca="false">E79*(1+Inputs!B13)</f>
        <v>1</v>
      </c>
      <c r="F80" s="17" t="n">
        <f aca="false">MAX(0,D80*Inputs!B12)</f>
        <v>2485711.6177422</v>
      </c>
      <c r="G80" s="18" t="n">
        <f aca="false">Inputs!B6*(C80/D80)*F80</f>
        <v>16945768559.0524</v>
      </c>
      <c r="H80" s="18" t="n">
        <f aca="false">Inputs!B7*C80*Inputs!B11</f>
        <v>338915371181.049</v>
      </c>
      <c r="I80" s="18" t="n">
        <f aca="false">Inputs!B8*B80</f>
        <v>0</v>
      </c>
      <c r="J80" s="18" t="n">
        <f aca="false">IF(D80&gt;0,H80/D80,0)</f>
        <v>681.727053053905</v>
      </c>
      <c r="K80" s="19" t="n">
        <f aca="false">IF(D80&gt;0,I80/D80/12,0)</f>
        <v>0</v>
      </c>
      <c r="L80" s="18" t="n">
        <f aca="false">(L79+J80)*(1+Inputs!B14)</f>
        <v>826149.171686202</v>
      </c>
      <c r="M80" s="18" t="n">
        <f aca="false">L80/E80</f>
        <v>826149.171686202</v>
      </c>
      <c r="N80" s="18" t="n">
        <f aca="false">N79+K80*12/E80</f>
        <v>0</v>
      </c>
    </row>
    <row r="81" customFormat="false" ht="15" hidden="false" customHeight="true" outlineLevel="0" collapsed="false">
      <c r="A81" s="13" t="n">
        <v>76</v>
      </c>
      <c r="B81" s="18" t="n">
        <f aca="false">B80+G80+H80+I80</f>
        <v>36819543126745.2</v>
      </c>
      <c r="C81" s="18" t="n">
        <f aca="false">C80*(1+Inputs!B11)*(1+Inputs!B13)</f>
        <v>138277471441868</v>
      </c>
      <c r="D81" s="17" t="n">
        <f aca="false">D80*(1+Inputs!B12)</f>
        <v>499628035.166182</v>
      </c>
      <c r="E81" s="16" t="n">
        <f aca="false">E80*(1+Inputs!B13)</f>
        <v>1</v>
      </c>
      <c r="F81" s="17" t="n">
        <f aca="false">MAX(0,D81*Inputs!B12)</f>
        <v>2498140.17583091</v>
      </c>
      <c r="G81" s="18" t="n">
        <f aca="false">Inputs!B6*(C81/D81)*F81</f>
        <v>17284683930.2335</v>
      </c>
      <c r="H81" s="18" t="n">
        <f aca="false">Inputs!B7*C81*Inputs!B11</f>
        <v>345693678604.67</v>
      </c>
      <c r="I81" s="18" t="n">
        <f aca="false">Inputs!B8*B81</f>
        <v>0</v>
      </c>
      <c r="J81" s="18" t="n">
        <f aca="false">IF(D81&gt;0,H81/D81,0)</f>
        <v>691.902083696501</v>
      </c>
      <c r="K81" s="19" t="n">
        <f aca="false">IF(D81&gt;0,I81/D81/12,0)</f>
        <v>0</v>
      </c>
      <c r="L81" s="18" t="n">
        <f aca="false">(L80+J81)*(1+Inputs!B14)</f>
        <v>880585.743564942</v>
      </c>
      <c r="M81" s="18" t="n">
        <f aca="false">L81/E81</f>
        <v>880585.743564942</v>
      </c>
      <c r="N81" s="18" t="n">
        <f aca="false">N80+K81*12/E81</f>
        <v>0</v>
      </c>
    </row>
    <row r="82" customFormat="false" ht="15" hidden="false" customHeight="true" outlineLevel="0" collapsed="false">
      <c r="A82" s="13" t="n">
        <v>77</v>
      </c>
      <c r="B82" s="18" t="n">
        <f aca="false">B81+G81+H81+I81</f>
        <v>37182521489280.1</v>
      </c>
      <c r="C82" s="18" t="n">
        <f aca="false">C81*(1+Inputs!B11)*(1+Inputs!B13)</f>
        <v>141043020870705</v>
      </c>
      <c r="D82" s="17" t="n">
        <f aca="false">D81*(1+Inputs!B12)</f>
        <v>502126175.342013</v>
      </c>
      <c r="E82" s="16" t="n">
        <f aca="false">E81*(1+Inputs!B13)</f>
        <v>1</v>
      </c>
      <c r="F82" s="17" t="n">
        <f aca="false">MAX(0,D82*Inputs!B12)</f>
        <v>2510630.87671006</v>
      </c>
      <c r="G82" s="18" t="n">
        <f aca="false">Inputs!B6*(C82/D82)*F82</f>
        <v>17630377608.8382</v>
      </c>
      <c r="H82" s="18" t="n">
        <f aca="false">Inputs!B7*C82*Inputs!B11</f>
        <v>352607552176.763</v>
      </c>
      <c r="I82" s="18" t="n">
        <f aca="false">Inputs!B8*B82</f>
        <v>0</v>
      </c>
      <c r="J82" s="18" t="n">
        <f aca="false">IF(D82&gt;0,H82/D82,0)</f>
        <v>702.22898046809</v>
      </c>
      <c r="K82" s="19" t="n">
        <f aca="false">IF(D82&gt;0,I82/D82/12,0)</f>
        <v>0</v>
      </c>
      <c r="L82" s="18" t="n">
        <f aca="false">(L81+J82)*(1+Inputs!B14)</f>
        <v>938571.690760862</v>
      </c>
      <c r="M82" s="18" t="n">
        <f aca="false">L82/E82</f>
        <v>938571.690760862</v>
      </c>
      <c r="N82" s="18" t="n">
        <f aca="false">N81+K82*12/E82</f>
        <v>0</v>
      </c>
    </row>
    <row r="83" customFormat="false" ht="15" hidden="false" customHeight="true" outlineLevel="0" collapsed="false">
      <c r="A83" s="13" t="n">
        <v>78</v>
      </c>
      <c r="B83" s="18" t="n">
        <f aca="false">B82+G82+H82+I82</f>
        <v>37552759419065.7</v>
      </c>
      <c r="C83" s="18" t="n">
        <f aca="false">C82*(1+Inputs!B11)*(1+Inputs!B13)</f>
        <v>143863881288119</v>
      </c>
      <c r="D83" s="17" t="n">
        <f aca="false">D82*(1+Inputs!B12)</f>
        <v>504636806.218723</v>
      </c>
      <c r="E83" s="16" t="n">
        <f aca="false">E82*(1+Inputs!B13)</f>
        <v>1</v>
      </c>
      <c r="F83" s="17" t="n">
        <f aca="false">MAX(0,D83*Inputs!B12)</f>
        <v>2523184.03109361</v>
      </c>
      <c r="G83" s="18" t="n">
        <f aca="false">Inputs!B6*(C83/D83)*F83</f>
        <v>17982985161.0149</v>
      </c>
      <c r="H83" s="18" t="n">
        <f aca="false">Inputs!B7*C83*Inputs!B11</f>
        <v>359659703220.298</v>
      </c>
      <c r="I83" s="18" t="n">
        <f aca="false">Inputs!B8*B83</f>
        <v>0</v>
      </c>
      <c r="J83" s="18" t="n">
        <f aca="false">IF(D83&gt;0,H83/D83,0)</f>
        <v>712.710010027316</v>
      </c>
      <c r="K83" s="19" t="n">
        <f aca="false">IF(D83&gt;0,I83/D83/12,0)</f>
        <v>0</v>
      </c>
      <c r="L83" s="18" t="n">
        <f aca="false">(L82+J83)*(1+Inputs!B14)</f>
        <v>1000337.886821</v>
      </c>
      <c r="M83" s="18" t="n">
        <f aca="false">L83/E83</f>
        <v>1000337.886821</v>
      </c>
      <c r="N83" s="18" t="n">
        <f aca="false">N82+K83*12/E83</f>
        <v>0</v>
      </c>
    </row>
    <row r="84" customFormat="false" ht="15" hidden="false" customHeight="true" outlineLevel="0" collapsed="false">
      <c r="A84" s="13" t="n">
        <v>79</v>
      </c>
      <c r="B84" s="18" t="n">
        <f aca="false">B83+G83+H83+I83</f>
        <v>37930402107447</v>
      </c>
      <c r="C84" s="18" t="n">
        <f aca="false">C83*(1+Inputs!B11)*(1+Inputs!B13)</f>
        <v>146741158913882</v>
      </c>
      <c r="D84" s="17" t="n">
        <f aca="false">D83*(1+Inputs!B12)</f>
        <v>507159990.249816</v>
      </c>
      <c r="E84" s="16" t="n">
        <f aca="false">E83*(1+Inputs!B13)</f>
        <v>1</v>
      </c>
      <c r="F84" s="17" t="n">
        <f aca="false">MAX(0,D84*Inputs!B12)</f>
        <v>2535799.95124908</v>
      </c>
      <c r="G84" s="18" t="n">
        <f aca="false">Inputs!B6*(C84/D84)*F84</f>
        <v>18342644864.2352</v>
      </c>
      <c r="H84" s="18" t="n">
        <f aca="false">Inputs!B7*C84*Inputs!B11</f>
        <v>366852897284.704</v>
      </c>
      <c r="I84" s="18" t="n">
        <f aca="false">Inputs!B8*B84</f>
        <v>0</v>
      </c>
      <c r="J84" s="18" t="n">
        <f aca="false">IF(D84&gt;0,H84/D84,0)</f>
        <v>723.347472863544</v>
      </c>
      <c r="K84" s="19" t="n">
        <f aca="false">IF(D84&gt;0,I84/D84/12,0)</f>
        <v>0</v>
      </c>
      <c r="L84" s="18" t="n">
        <f aca="false">(L83+J84)*(1+Inputs!B14)</f>
        <v>1066130.21452296</v>
      </c>
      <c r="M84" s="18" t="n">
        <f aca="false">L84/E84</f>
        <v>1066130.21452296</v>
      </c>
      <c r="N84" s="18" t="n">
        <f aca="false">N83+K84*12/E84</f>
        <v>0</v>
      </c>
    </row>
    <row r="85" customFormat="false" ht="15" hidden="false" customHeight="true" outlineLevel="0" collapsed="false">
      <c r="A85" s="13" t="n">
        <v>80</v>
      </c>
      <c r="B85" s="18" t="n">
        <f aca="false">B84+G84+H84+I84</f>
        <v>38315597649595.9</v>
      </c>
      <c r="C85" s="18" t="n">
        <f aca="false">C84*(1+Inputs!B11)*(1+Inputs!B13)</f>
        <v>149675982092159</v>
      </c>
      <c r="D85" s="17" t="n">
        <f aca="false">D84*(1+Inputs!B12)</f>
        <v>509695790.201065</v>
      </c>
      <c r="E85" s="16" t="n">
        <f aca="false">E84*(1+Inputs!B13)</f>
        <v>1</v>
      </c>
      <c r="F85" s="17" t="n">
        <f aca="false">MAX(0,D85*Inputs!B12)</f>
        <v>2548478.95100533</v>
      </c>
      <c r="G85" s="18" t="n">
        <f aca="false">Inputs!B6*(C85/D85)*F85</f>
        <v>18709497761.5199</v>
      </c>
      <c r="H85" s="18" t="n">
        <f aca="false">Inputs!B7*C85*Inputs!B11</f>
        <v>374189955230.398</v>
      </c>
      <c r="I85" s="18" t="n">
        <f aca="false">Inputs!B8*B85</f>
        <v>0</v>
      </c>
      <c r="J85" s="18" t="n">
        <f aca="false">IF(D85&gt;0,H85/D85,0)</f>
        <v>734.143703801806</v>
      </c>
      <c r="K85" s="19" t="n">
        <f aca="false">IF(D85&gt;0,I85/D85/12,0)</f>
        <v>0</v>
      </c>
      <c r="L85" s="18" t="n">
        <f aca="false">(L84+J85)*(1+Inputs!B14)</f>
        <v>1136210.5415115</v>
      </c>
      <c r="M85" s="18" t="n">
        <f aca="false">L85/E85</f>
        <v>1136210.5415115</v>
      </c>
      <c r="N85" s="18" t="n">
        <f aca="false">N84+K85*12/E85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65"/>
  </cols>
  <sheetData>
    <row r="1" customFormat="false" ht="19.5" hidden="false" customHeight="true" outlineLevel="0" collapsed="false">
      <c r="A1" s="2" t="s">
        <v>57</v>
      </c>
      <c r="B1" s="2"/>
      <c r="C1" s="2"/>
    </row>
    <row r="2" customFormat="false" ht="15" hidden="false" customHeight="true" outlineLevel="0" collapsed="false">
      <c r="A2" s="12" t="s">
        <v>58</v>
      </c>
      <c r="B2" s="12"/>
      <c r="C2" s="12"/>
    </row>
    <row r="4" customFormat="false" ht="15" hidden="false" customHeight="true" outlineLevel="0" collapsed="false">
      <c r="A4" s="4" t="s">
        <v>59</v>
      </c>
      <c r="B4" s="4" t="s">
        <v>3</v>
      </c>
      <c r="C4" s="4" t="s">
        <v>60</v>
      </c>
    </row>
    <row r="5" customFormat="false" ht="15" hidden="false" customHeight="true" outlineLevel="0" collapsed="false">
      <c r="A5" s="6" t="s">
        <v>61</v>
      </c>
      <c r="B5" s="20" t="n">
        <f aca="false">INDEX(Projection!M5:M85,MATCH(Inputs!B20,Projection!A5:A85,0))</f>
        <v>435261.295526382</v>
      </c>
      <c r="C5" s="8" t="s">
        <v>62</v>
      </c>
    </row>
    <row r="6" customFormat="false" ht="15" hidden="false" customHeight="true" outlineLevel="0" collapsed="false">
      <c r="A6" s="6" t="s">
        <v>63</v>
      </c>
      <c r="B6" s="20" t="n">
        <f aca="false">INDEX(Projection!M5:M85,MATCH(Inputs!B20,Projection!A5:A85,0))*Inputs!B21</f>
        <v>17410.4518210553</v>
      </c>
      <c r="C6" s="8" t="s">
        <v>64</v>
      </c>
    </row>
    <row r="7" customFormat="false" ht="15" hidden="false" customHeight="true" outlineLevel="0" collapsed="false">
      <c r="A7" s="6" t="s">
        <v>65</v>
      </c>
      <c r="B7" s="21" t="n">
        <f aca="false">INDEX(Projection!K5:K85,2)</f>
        <v>0</v>
      </c>
      <c r="C7" s="8" t="s">
        <v>66</v>
      </c>
    </row>
    <row r="8" customFormat="false" ht="15" hidden="false" customHeight="true" outlineLevel="0" collapsed="false">
      <c r="A8" s="6" t="s">
        <v>67</v>
      </c>
      <c r="B8" s="20" t="n">
        <f aca="false">INDEX(Projection!N5:N85,MATCH(Inputs!B20,Projection!A5:A85,0))</f>
        <v>0</v>
      </c>
      <c r="C8" s="8" t="s">
        <v>68</v>
      </c>
    </row>
    <row r="9" customFormat="false" ht="15" hidden="false" customHeight="true" outlineLevel="0" collapsed="false">
      <c r="A9" s="6" t="s">
        <v>69</v>
      </c>
      <c r="B9" s="20" t="n">
        <f aca="false">INDEX(Projection!M5:M85,MATCH(Inputs!B20,Projection!A5:A85,0))+INDEX(Projection!N5:N85,MATCH(Inputs!B20,Projection!A5:A85,0))</f>
        <v>435261.295526382</v>
      </c>
      <c r="C9" s="8" t="s">
        <v>70</v>
      </c>
    </row>
    <row r="10" customFormat="false" ht="15" hidden="false" customHeight="true" outlineLevel="0" collapsed="false">
      <c r="A10" s="6" t="s">
        <v>71</v>
      </c>
      <c r="B10" s="22" t="n">
        <f aca="false">(INDEX(Projection!G5:G85,2)+INDEX(Projection!H5:H85,2)+INDEX(Projection!I5:I85,2))/INDEX(Projection!B5:B85,2)</f>
        <v>0.00360830246366561</v>
      </c>
      <c r="C10" s="8" t="s">
        <v>72</v>
      </c>
    </row>
    <row r="11" customFormat="false" ht="15" hidden="false" customHeight="true" outlineLevel="0" collapsed="false">
      <c r="A11" s="6" t="s">
        <v>73</v>
      </c>
      <c r="B11" s="22" t="n">
        <f aca="false">(INDEX(Projection!G5:G85,2)+INDEX(Projection!H5:H85,2)+INDEX(Projection!I5:I85,2))/INDEX(Projection!C5:C85,2)</f>
        <v>0.002625</v>
      </c>
      <c r="C11" s="8" t="s">
        <v>74</v>
      </c>
    </row>
    <row r="12" customFormat="false" ht="15" hidden="false" customHeight="true" outlineLevel="0" collapsed="false">
      <c r="A12" s="6" t="s">
        <v>75</v>
      </c>
      <c r="B12" s="20" t="n">
        <f aca="false">INDEX(Projection!B5:B85,MATCH(Inputs!B20,Projection!A5:A85,0))</f>
        <v>33267129048871.4</v>
      </c>
      <c r="C12" s="8" t="s">
        <v>76</v>
      </c>
    </row>
    <row r="13" customFormat="false" ht="15" hidden="false" customHeight="true" outlineLevel="0" collapsed="false">
      <c r="A13" s="6" t="s">
        <v>77</v>
      </c>
      <c r="B13" s="20" t="n">
        <f aca="false">INDEX(Projection!C5:C85,MATCH(Inputs!B20,Projection!A5:A85,0))</f>
        <v>111211459419972</v>
      </c>
      <c r="C13" s="8" t="s">
        <v>78</v>
      </c>
    </row>
    <row r="14" customFormat="false" ht="15" hidden="false" customHeight="true" outlineLevel="0" collapsed="false">
      <c r="A14" s="6" t="s">
        <v>79</v>
      </c>
      <c r="B14" s="23" t="n">
        <f aca="false">INDEX(Projection!D5:D85,MATCH(Inputs!B20,Projection!A5:A85,0))</f>
        <v>472955325.740668</v>
      </c>
      <c r="C14" s="8" t="s">
        <v>80</v>
      </c>
    </row>
    <row r="15" customFormat="false" ht="15" hidden="false" customHeight="true" outlineLevel="0" collapsed="false">
      <c r="A15" s="6" t="s">
        <v>81</v>
      </c>
      <c r="B15" s="24" t="n">
        <f aca="false">INDEX(Projection!E5:E85,MATCH(Inputs!B20,Projection!A5:A85,0))</f>
        <v>1</v>
      </c>
      <c r="C15" s="8" t="s">
        <v>82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9" min="6" style="1" width="14"/>
  </cols>
  <sheetData>
    <row r="1" customFormat="false" ht="19.5" hidden="false" customHeight="true" outlineLevel="0" collapsed="false">
      <c r="A1" s="2" t="s">
        <v>83</v>
      </c>
      <c r="B1" s="2"/>
      <c r="C1" s="2"/>
      <c r="D1" s="2"/>
      <c r="E1" s="2"/>
      <c r="F1" s="2"/>
      <c r="G1" s="2"/>
      <c r="H1" s="2"/>
      <c r="I1" s="2"/>
    </row>
    <row r="2" customFormat="false" ht="37.5" hidden="false" customHeight="true" outlineLevel="0" collapsed="false">
      <c r="A2" s="3" t="s">
        <v>84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5" t="s">
        <v>85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true" outlineLevel="0" collapsed="false">
      <c r="A5" s="6" t="s">
        <v>86</v>
      </c>
      <c r="B5" s="25" t="n">
        <v>87571</v>
      </c>
      <c r="C5" s="8" t="s">
        <v>87</v>
      </c>
    </row>
    <row r="6" customFormat="false" ht="15" hidden="false" customHeight="true" outlineLevel="0" collapsed="false">
      <c r="A6" s="6" t="s">
        <v>88</v>
      </c>
      <c r="B6" s="25" t="n">
        <v>244750</v>
      </c>
      <c r="C6" s="8" t="s">
        <v>89</v>
      </c>
    </row>
    <row r="7" customFormat="false" ht="15" hidden="false" customHeight="true" outlineLevel="0" collapsed="false">
      <c r="A7" s="6" t="s">
        <v>90</v>
      </c>
      <c r="B7" s="25" t="n">
        <v>24953</v>
      </c>
      <c r="C7" s="8" t="s">
        <v>91</v>
      </c>
    </row>
    <row r="8" customFormat="false" ht="15" hidden="false" customHeight="true" outlineLevel="0" collapsed="false">
      <c r="A8" s="6" t="s">
        <v>92</v>
      </c>
      <c r="B8" s="26" t="n">
        <v>0.23</v>
      </c>
      <c r="C8" s="8" t="s">
        <v>93</v>
      </c>
    </row>
    <row r="9" customFormat="false" ht="15" hidden="false" customHeight="true" outlineLevel="0" collapsed="false">
      <c r="A9" s="6" t="s">
        <v>94</v>
      </c>
      <c r="B9" s="25" t="n">
        <v>1700</v>
      </c>
      <c r="C9" s="8" t="s">
        <v>95</v>
      </c>
    </row>
    <row r="10" customFormat="false" ht="15" hidden="false" customHeight="true" outlineLevel="0" collapsed="false">
      <c r="A10" s="6" t="s">
        <v>96</v>
      </c>
      <c r="B10" s="27" t="n">
        <v>1000</v>
      </c>
      <c r="C10" s="8" t="s">
        <v>97</v>
      </c>
    </row>
    <row r="11" customFormat="false" ht="15" hidden="false" customHeight="true" outlineLevel="0" collapsed="false">
      <c r="A11" s="6" t="s">
        <v>98</v>
      </c>
      <c r="B11" s="25" t="n">
        <v>31200</v>
      </c>
      <c r="C11" s="8" t="s">
        <v>99</v>
      </c>
    </row>
    <row r="13" customFormat="false" ht="15" hidden="false" customHeight="true" outlineLevel="0" collapsed="false">
      <c r="A13" s="28" t="s">
        <v>100</v>
      </c>
      <c r="B13" s="29" t="s">
        <v>101</v>
      </c>
      <c r="C13" s="8" t="s">
        <v>102</v>
      </c>
    </row>
    <row r="15" customFormat="false" ht="15" hidden="false" customHeight="true" outlineLevel="0" collapsed="false">
      <c r="A15" s="5" t="s">
        <v>103</v>
      </c>
      <c r="B15" s="5"/>
      <c r="C15" s="5"/>
      <c r="D15" s="5"/>
      <c r="E15" s="5"/>
      <c r="F15" s="5"/>
      <c r="G15" s="5"/>
      <c r="H15" s="5"/>
      <c r="I15" s="5"/>
    </row>
    <row r="16" customFormat="false" ht="37.5" hidden="false" customHeight="true" outlineLevel="0" collapsed="false">
      <c r="A16" s="30" t="s">
        <v>104</v>
      </c>
      <c r="B16" s="31" t="s">
        <v>105</v>
      </c>
      <c r="C16" s="30" t="s">
        <v>106</v>
      </c>
      <c r="D16" s="30" t="s">
        <v>107</v>
      </c>
      <c r="E16" s="30" t="s">
        <v>108</v>
      </c>
      <c r="F16" s="30" t="s">
        <v>109</v>
      </c>
      <c r="G16" s="30" t="s">
        <v>110</v>
      </c>
      <c r="H16" s="30" t="s">
        <v>111</v>
      </c>
      <c r="I16" s="30" t="s">
        <v>112</v>
      </c>
    </row>
    <row r="17" customFormat="false" ht="15" hidden="false" customHeight="true" outlineLevel="0" collapsed="false">
      <c r="A17" s="6" t="s">
        <v>113</v>
      </c>
      <c r="B17" s="32" t="n">
        <f aca="false">Summary!B5</f>
        <v>435261.295526382</v>
      </c>
      <c r="C17" s="33" t="n">
        <f aca="false">IF($B$13="average",$B$6,$B$5)</f>
        <v>87571</v>
      </c>
      <c r="D17" s="33" t="n">
        <f aca="false">IF($B$13="average",$B$6,$B$5)</f>
        <v>87571</v>
      </c>
      <c r="E17" s="33" t="n">
        <f aca="false">IF($B$13="average",$B$6,$B$5)</f>
        <v>87571</v>
      </c>
      <c r="F17" s="33" t="n">
        <f aca="false">IF($B$13="average",$B$6,$B$5)</f>
        <v>87571</v>
      </c>
      <c r="G17" s="33" t="n">
        <f aca="false">IF($B$13="average",$B$6,$B$5)</f>
        <v>87571</v>
      </c>
      <c r="H17" s="33" t="n">
        <f aca="false">IF($B$13="average",$B$6,$B$5)</f>
        <v>87571</v>
      </c>
      <c r="I17" s="33" t="n">
        <f aca="false">IF($B$13="average",$B$6,$B$5)</f>
        <v>87571</v>
      </c>
    </row>
    <row r="18" customFormat="false" ht="15" hidden="false" customHeight="true" outlineLevel="0" collapsed="false">
      <c r="A18" s="6" t="s">
        <v>114</v>
      </c>
      <c r="B18" s="32" t="n">
        <f aca="false">Summary!B8</f>
        <v>0</v>
      </c>
      <c r="C18" s="33" t="n">
        <v>0</v>
      </c>
      <c r="D18" s="33" t="n">
        <v>0</v>
      </c>
      <c r="E18" s="33" t="n">
        <v>0</v>
      </c>
      <c r="F18" s="33" t="n">
        <v>0</v>
      </c>
      <c r="G18" s="33" t="n">
        <f aca="false">$B$9*Inputs!B20</f>
        <v>110500</v>
      </c>
      <c r="H18" s="33" t="n">
        <f aca="false">$B$10*12*Inputs!B20</f>
        <v>780000</v>
      </c>
      <c r="I18" s="33" t="n">
        <f aca="false">$B$11*43</f>
        <v>1341600</v>
      </c>
    </row>
    <row r="19" customFormat="false" ht="15" hidden="false" customHeight="true" outlineLevel="0" collapsed="false">
      <c r="A19" s="6" t="s">
        <v>115</v>
      </c>
      <c r="B19" s="32" t="n">
        <f aca="false">Summary!B5*Inputs!B21+Projection!K5*12</f>
        <v>17410.4518210553</v>
      </c>
      <c r="C19" s="33" t="n">
        <f aca="false">IF($B$13="average",$B$6,$B$5)*Inputs!B21+IF($B$13="ss-cut",$B$7*(1-$B$8),$B$7)</f>
        <v>28455.84</v>
      </c>
      <c r="D19" s="33" t="n">
        <f aca="false">IF($B$13="average",$B$6,$B$5)*Inputs!B21</f>
        <v>3502.84</v>
      </c>
      <c r="E19" s="33" t="n">
        <f aca="false">IF($B$13="average",$B$6,$B$5)*Inputs!B21</f>
        <v>3502.84</v>
      </c>
      <c r="F19" s="33" t="n">
        <f aca="false">IF($B$13="average",$B$6,$B$5)*Inputs!B21</f>
        <v>3502.84</v>
      </c>
      <c r="G19" s="33" t="n">
        <f aca="false">IF($B$13="average",$B$6,$B$5)*Inputs!B21+$B$9</f>
        <v>5202.84</v>
      </c>
      <c r="H19" s="33" t="n">
        <f aca="false">IF($B$13="average",$B$6,$B$5)*Inputs!B21+$B$10*12</f>
        <v>15502.84</v>
      </c>
      <c r="I19" s="33" t="n">
        <f aca="false">IF($B$13="average",$B$6,$B$5)*Inputs!B21</f>
        <v>3502.84</v>
      </c>
    </row>
    <row r="21" customFormat="false" ht="15" hidden="false" customHeight="true" outlineLevel="0" collapsed="false">
      <c r="A21" s="5" t="s">
        <v>116</v>
      </c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true" outlineLevel="0" collapsed="false">
      <c r="A22" s="6" t="s">
        <v>117</v>
      </c>
      <c r="B22" s="34" t="s">
        <v>118</v>
      </c>
      <c r="C22" s="35" t="s">
        <v>119</v>
      </c>
      <c r="D22" s="36" t="s">
        <v>118</v>
      </c>
      <c r="E22" s="36" t="s">
        <v>118</v>
      </c>
      <c r="F22" s="36" t="s">
        <v>118</v>
      </c>
      <c r="G22" s="37" t="s">
        <v>120</v>
      </c>
      <c r="H22" s="35" t="s">
        <v>119</v>
      </c>
      <c r="I22" s="35" t="s">
        <v>119</v>
      </c>
    </row>
    <row r="23" customFormat="false" ht="15" hidden="false" customHeight="true" outlineLevel="0" collapsed="false">
      <c r="A23" s="6" t="s">
        <v>121</v>
      </c>
      <c r="B23" s="34" t="s">
        <v>118</v>
      </c>
      <c r="C23" s="35" t="s">
        <v>119</v>
      </c>
      <c r="D23" s="35" t="s">
        <v>119</v>
      </c>
      <c r="E23" s="35" t="s">
        <v>119</v>
      </c>
      <c r="F23" s="35" t="s">
        <v>119</v>
      </c>
      <c r="G23" s="36" t="s">
        <v>118</v>
      </c>
      <c r="H23" s="36" t="s">
        <v>118</v>
      </c>
      <c r="I23" s="37" t="s">
        <v>120</v>
      </c>
    </row>
    <row r="24" customFormat="false" ht="15" hidden="false" customHeight="true" outlineLevel="0" collapsed="false">
      <c r="A24" s="6" t="s">
        <v>122</v>
      </c>
      <c r="B24" s="34" t="s">
        <v>118</v>
      </c>
      <c r="C24" s="37" t="s">
        <v>120</v>
      </c>
      <c r="D24" s="35" t="s">
        <v>119</v>
      </c>
      <c r="E24" s="35" t="s">
        <v>119</v>
      </c>
      <c r="F24" s="35" t="s">
        <v>119</v>
      </c>
      <c r="G24" s="37" t="s">
        <v>120</v>
      </c>
      <c r="H24" s="35" t="s">
        <v>119</v>
      </c>
      <c r="I24" s="36" t="s">
        <v>118</v>
      </c>
    </row>
    <row r="25" customFormat="false" ht="15" hidden="false" customHeight="true" outlineLevel="0" collapsed="false">
      <c r="A25" s="6" t="s">
        <v>123</v>
      </c>
      <c r="B25" s="38" t="s">
        <v>124</v>
      </c>
      <c r="C25" s="37" t="s">
        <v>125</v>
      </c>
      <c r="D25" s="37" t="s">
        <v>126</v>
      </c>
      <c r="E25" s="37" t="s">
        <v>127</v>
      </c>
      <c r="F25" s="37" t="s">
        <v>127</v>
      </c>
      <c r="G25" s="37" t="s">
        <v>126</v>
      </c>
      <c r="H25" s="37" t="s">
        <v>126</v>
      </c>
      <c r="I25" s="37" t="s">
        <v>125</v>
      </c>
    </row>
    <row r="26" customFormat="false" ht="15" hidden="false" customHeight="true" outlineLevel="0" collapsed="false">
      <c r="A26" s="6" t="s">
        <v>128</v>
      </c>
      <c r="B26" s="34" t="s">
        <v>118</v>
      </c>
      <c r="C26" s="35" t="s">
        <v>119</v>
      </c>
      <c r="D26" s="35" t="s">
        <v>119</v>
      </c>
      <c r="E26" s="35" t="s">
        <v>119</v>
      </c>
      <c r="F26" s="36" t="s">
        <v>118</v>
      </c>
      <c r="G26" s="35" t="s">
        <v>119</v>
      </c>
      <c r="H26" s="35" t="s">
        <v>119</v>
      </c>
      <c r="I26" s="35" t="s">
        <v>119</v>
      </c>
    </row>
    <row r="27" customFormat="false" ht="21.75" hidden="false" customHeight="true" outlineLevel="0" collapsed="false">
      <c r="A27" s="6" t="s">
        <v>129</v>
      </c>
      <c r="B27" s="39" t="s">
        <v>130</v>
      </c>
      <c r="C27" s="40" t="s">
        <v>131</v>
      </c>
      <c r="D27" s="40" t="s">
        <v>132</v>
      </c>
      <c r="E27" s="40" t="s">
        <v>133</v>
      </c>
      <c r="F27" s="40" t="s">
        <v>134</v>
      </c>
      <c r="G27" s="40" t="s">
        <v>135</v>
      </c>
      <c r="H27" s="40" t="s">
        <v>136</v>
      </c>
      <c r="I27" s="40" t="s">
        <v>137</v>
      </c>
    </row>
    <row r="29" customFormat="false" ht="15" hidden="false" customHeight="true" outlineLevel="0" collapsed="false">
      <c r="A29" s="5" t="s">
        <v>138</v>
      </c>
      <c r="B29" s="5"/>
      <c r="C29" s="5"/>
      <c r="D29" s="5"/>
      <c r="E29" s="5"/>
      <c r="F29" s="5"/>
      <c r="G29" s="5"/>
      <c r="H29" s="5"/>
      <c r="I29" s="5"/>
    </row>
    <row r="30" customFormat="false" ht="31.5" hidden="false" customHeight="true" outlineLevel="0" collapsed="false">
      <c r="A30" s="6" t="s">
        <v>139</v>
      </c>
      <c r="B30" s="3" t="s">
        <v>140</v>
      </c>
      <c r="C30" s="3"/>
      <c r="D30" s="3"/>
      <c r="E30" s="3"/>
      <c r="F30" s="3"/>
      <c r="G30" s="3"/>
      <c r="H30" s="3"/>
      <c r="I30" s="3"/>
    </row>
    <row r="31" customFormat="false" ht="31.5" hidden="false" customHeight="true" outlineLevel="0" collapsed="false">
      <c r="A31" s="6" t="s">
        <v>141</v>
      </c>
      <c r="B31" s="3" t="s">
        <v>142</v>
      </c>
      <c r="C31" s="3"/>
      <c r="D31" s="3"/>
      <c r="E31" s="3"/>
      <c r="F31" s="3"/>
      <c r="G31" s="3"/>
      <c r="H31" s="3"/>
      <c r="I31" s="3"/>
    </row>
    <row r="32" customFormat="false" ht="31.5" hidden="false" customHeight="true" outlineLevel="0" collapsed="false">
      <c r="A32" s="6" t="s">
        <v>143</v>
      </c>
      <c r="B32" s="3" t="s">
        <v>144</v>
      </c>
      <c r="C32" s="3"/>
      <c r="D32" s="3"/>
      <c r="E32" s="3"/>
      <c r="F32" s="3"/>
      <c r="G32" s="3"/>
      <c r="H32" s="3"/>
      <c r="I32" s="3"/>
    </row>
    <row r="33" customFormat="false" ht="31.5" hidden="false" customHeight="true" outlineLevel="0" collapsed="false">
      <c r="A33" s="6" t="s">
        <v>145</v>
      </c>
      <c r="B33" s="3" t="s">
        <v>146</v>
      </c>
      <c r="C33" s="3"/>
      <c r="D33" s="3"/>
      <c r="E33" s="3"/>
      <c r="F33" s="3"/>
      <c r="G33" s="3"/>
      <c r="H33" s="3"/>
      <c r="I33" s="3"/>
    </row>
    <row r="34" customFormat="false" ht="31.5" hidden="false" customHeight="true" outlineLevel="0" collapsed="false">
      <c r="A34" s="6" t="s">
        <v>147</v>
      </c>
      <c r="B34" s="3" t="s">
        <v>148</v>
      </c>
      <c r="C34" s="3"/>
      <c r="D34" s="3"/>
      <c r="E34" s="3"/>
      <c r="F34" s="3"/>
      <c r="G34" s="3"/>
      <c r="H34" s="3"/>
      <c r="I34" s="3"/>
    </row>
    <row r="35" customFormat="false" ht="31.5" hidden="false" customHeight="true" outlineLevel="0" collapsed="false">
      <c r="A35" s="6" t="s">
        <v>149</v>
      </c>
      <c r="B35" s="3" t="s">
        <v>150</v>
      </c>
      <c r="C35" s="3"/>
      <c r="D35" s="3"/>
      <c r="E35" s="3"/>
      <c r="F35" s="3"/>
      <c r="G35" s="3"/>
      <c r="H35" s="3"/>
      <c r="I35" s="3"/>
    </row>
    <row r="36" customFormat="false" ht="31.5" hidden="false" customHeight="true" outlineLevel="0" collapsed="false">
      <c r="A36" s="6" t="s">
        <v>151</v>
      </c>
      <c r="B36" s="3" t="s">
        <v>152</v>
      </c>
      <c r="C36" s="3"/>
      <c r="D36" s="3"/>
      <c r="E36" s="3"/>
      <c r="F36" s="3"/>
      <c r="G36" s="3"/>
      <c r="H36" s="3"/>
      <c r="I36" s="3"/>
    </row>
    <row r="37" customFormat="false" ht="31.5" hidden="false" customHeight="true" outlineLevel="0" collapsed="false">
      <c r="A37" s="6" t="s">
        <v>153</v>
      </c>
      <c r="B37" s="3" t="s">
        <v>154</v>
      </c>
      <c r="C37" s="3"/>
      <c r="D37" s="3"/>
      <c r="E37" s="3"/>
      <c r="F37" s="3"/>
      <c r="G37" s="3"/>
      <c r="H37" s="3"/>
      <c r="I37" s="3"/>
    </row>
    <row r="39" customFormat="false" ht="15" hidden="false" customHeight="true" outlineLevel="0" collapsed="false">
      <c r="A39" s="5" t="s">
        <v>155</v>
      </c>
      <c r="B39" s="5"/>
      <c r="C39" s="5"/>
      <c r="D39" s="5"/>
      <c r="E39" s="5"/>
      <c r="F39" s="5"/>
      <c r="G39" s="5"/>
      <c r="H39" s="5"/>
      <c r="I39" s="5"/>
    </row>
    <row r="40" customFormat="false" ht="18" hidden="false" customHeight="true" outlineLevel="0" collapsed="false">
      <c r="A40" s="3" t="s">
        <v>156</v>
      </c>
      <c r="B40" s="3"/>
      <c r="C40" s="3"/>
      <c r="D40" s="3"/>
      <c r="E40" s="3"/>
      <c r="F40" s="3"/>
      <c r="G40" s="3"/>
      <c r="H40" s="3"/>
      <c r="I40" s="3"/>
    </row>
    <row r="41" customFormat="false" ht="18" hidden="false" customHeight="true" outlineLevel="0" collapsed="false">
      <c r="A41" s="3" t="s">
        <v>157</v>
      </c>
      <c r="B41" s="3"/>
      <c r="C41" s="3"/>
      <c r="D41" s="3"/>
      <c r="E41" s="3"/>
      <c r="F41" s="3"/>
      <c r="G41" s="3"/>
      <c r="H41" s="3"/>
      <c r="I41" s="3"/>
    </row>
    <row r="42" customFormat="false" ht="18" hidden="false" customHeight="true" outlineLevel="0" collapsed="false">
      <c r="A42" s="3" t="s">
        <v>158</v>
      </c>
      <c r="B42" s="3"/>
      <c r="C42" s="3"/>
      <c r="D42" s="3"/>
      <c r="E42" s="3"/>
      <c r="F42" s="3"/>
      <c r="G42" s="3"/>
      <c r="H42" s="3"/>
      <c r="I42" s="3"/>
    </row>
    <row r="43" customFormat="false" ht="18" hidden="false" customHeight="true" outlineLevel="0" collapsed="false">
      <c r="A43" s="3" t="s">
        <v>159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3" t="s">
        <v>160</v>
      </c>
      <c r="B44" s="3"/>
      <c r="C44" s="3"/>
      <c r="D44" s="3"/>
      <c r="E44" s="3"/>
      <c r="F44" s="3"/>
      <c r="G44" s="3"/>
      <c r="H44" s="3"/>
      <c r="I44" s="3"/>
    </row>
  </sheetData>
  <mergeCells count="20">
    <mergeCell ref="A1:I1"/>
    <mergeCell ref="A2:I2"/>
    <mergeCell ref="A4:I4"/>
    <mergeCell ref="A15:I15"/>
    <mergeCell ref="A21:I21"/>
    <mergeCell ref="A29:I29"/>
    <mergeCell ref="B30:I30"/>
    <mergeCell ref="B31:I31"/>
    <mergeCell ref="B32:I32"/>
    <mergeCell ref="B33:I33"/>
    <mergeCell ref="B34:I34"/>
    <mergeCell ref="B35:I35"/>
    <mergeCell ref="B36:I36"/>
    <mergeCell ref="B37:I37"/>
    <mergeCell ref="A39:I39"/>
    <mergeCell ref="A40:I40"/>
    <mergeCell ref="A41:I41"/>
    <mergeCell ref="A42:I42"/>
    <mergeCell ref="A43:I43"/>
    <mergeCell ref="A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22"/>
    <col collapsed="false" customWidth="true" hidden="false" outlineLevel="0" max="5" min="5" style="1" width="60"/>
  </cols>
  <sheetData>
    <row r="1" customFormat="false" ht="19.5" hidden="false" customHeight="true" outlineLevel="0" collapsed="false">
      <c r="A1" s="2" t="s">
        <v>161</v>
      </c>
      <c r="B1" s="2"/>
      <c r="C1" s="2"/>
      <c r="D1" s="2"/>
      <c r="E1" s="2"/>
    </row>
    <row r="2" customFormat="false" ht="15" hidden="false" customHeight="true" outlineLevel="0" collapsed="false">
      <c r="A2" s="12" t="s">
        <v>162</v>
      </c>
      <c r="B2" s="12"/>
      <c r="C2" s="12"/>
      <c r="D2" s="12"/>
      <c r="E2" s="12"/>
    </row>
    <row r="3" customFormat="false" ht="15" hidden="false" customHeight="false" outlineLevel="0" collapsed="false">
      <c r="A3" s="41" t="s">
        <v>163</v>
      </c>
    </row>
    <row r="4" customFormat="false" ht="15" hidden="false" customHeight="true" outlineLevel="0" collapsed="false">
      <c r="A4" s="4" t="s">
        <v>2</v>
      </c>
      <c r="B4" s="30" t="s">
        <v>164</v>
      </c>
      <c r="C4" s="30" t="s">
        <v>165</v>
      </c>
      <c r="D4" s="30" t="s">
        <v>166</v>
      </c>
      <c r="E4" s="4" t="s">
        <v>5</v>
      </c>
    </row>
    <row r="5" customFormat="false" ht="15" hidden="false" customHeight="true" outlineLevel="0" collapsed="false">
      <c r="A5" s="42" t="s">
        <v>167</v>
      </c>
      <c r="B5" s="43" t="s">
        <v>168</v>
      </c>
      <c r="C5" s="43" t="s">
        <v>168</v>
      </c>
      <c r="D5" s="43" t="s">
        <v>168</v>
      </c>
      <c r="E5" s="42" t="s">
        <v>169</v>
      </c>
    </row>
    <row r="6" customFormat="false" ht="15" hidden="false" customHeight="true" outlineLevel="0" collapsed="false">
      <c r="A6" s="42" t="s">
        <v>170</v>
      </c>
      <c r="B6" s="43" t="s">
        <v>171</v>
      </c>
      <c r="C6" s="43" t="s">
        <v>172</v>
      </c>
      <c r="D6" s="43" t="s">
        <v>171</v>
      </c>
      <c r="E6" s="42" t="s">
        <v>173</v>
      </c>
    </row>
    <row r="7" customFormat="false" ht="15" hidden="false" customHeight="true" outlineLevel="0" collapsed="false">
      <c r="A7" s="42" t="s">
        <v>174</v>
      </c>
      <c r="B7" s="43" t="s">
        <v>175</v>
      </c>
      <c r="C7" s="43" t="s">
        <v>175</v>
      </c>
      <c r="D7" s="43" t="s">
        <v>176</v>
      </c>
      <c r="E7" s="42" t="s">
        <v>177</v>
      </c>
    </row>
    <row r="8" customFormat="false" ht="15" hidden="false" customHeight="true" outlineLevel="0" collapsed="false">
      <c r="A8" s="42" t="s">
        <v>178</v>
      </c>
      <c r="B8" s="43" t="s">
        <v>179</v>
      </c>
      <c r="C8" s="43" t="s">
        <v>175</v>
      </c>
      <c r="D8" s="43" t="s">
        <v>180</v>
      </c>
      <c r="E8" s="42" t="s">
        <v>181</v>
      </c>
    </row>
    <row r="9" customFormat="false" ht="15" hidden="false" customHeight="true" outlineLevel="0" collapsed="false">
      <c r="A9" s="42" t="s">
        <v>182</v>
      </c>
      <c r="B9" s="43" t="s">
        <v>183</v>
      </c>
      <c r="C9" s="43" t="s">
        <v>184</v>
      </c>
      <c r="D9" s="43" t="s">
        <v>185</v>
      </c>
      <c r="E9" s="42" t="s">
        <v>186</v>
      </c>
    </row>
    <row r="10" customFormat="false" ht="15" hidden="false" customHeight="true" outlineLevel="0" collapsed="false">
      <c r="A10" s="42" t="s">
        <v>187</v>
      </c>
      <c r="B10" s="43" t="s">
        <v>188</v>
      </c>
      <c r="C10" s="43" t="s">
        <v>189</v>
      </c>
      <c r="D10" s="43" t="s">
        <v>190</v>
      </c>
      <c r="E10" s="42" t="s">
        <v>191</v>
      </c>
    </row>
    <row r="11" customFormat="false" ht="15" hidden="false" customHeight="true" outlineLevel="0" collapsed="false">
      <c r="A11" s="42" t="s">
        <v>192</v>
      </c>
      <c r="B11" s="43" t="s">
        <v>193</v>
      </c>
      <c r="C11" s="43" t="s">
        <v>193</v>
      </c>
      <c r="D11" s="43" t="s">
        <v>194</v>
      </c>
      <c r="E11" s="42" t="s">
        <v>195</v>
      </c>
    </row>
    <row r="12" customFormat="false" ht="15" hidden="false" customHeight="true" outlineLevel="0" collapsed="false">
      <c r="A12" s="42" t="s">
        <v>196</v>
      </c>
      <c r="B12" s="43" t="s">
        <v>197</v>
      </c>
      <c r="C12" s="43" t="s">
        <v>198</v>
      </c>
      <c r="D12" s="43" t="s">
        <v>199</v>
      </c>
      <c r="E12" s="42" t="s">
        <v>200</v>
      </c>
    </row>
    <row r="13" customFormat="false" ht="15" hidden="false" customHeight="true" outlineLevel="0" collapsed="false">
      <c r="A13" s="42" t="s">
        <v>201</v>
      </c>
      <c r="B13" s="43" t="s">
        <v>202</v>
      </c>
      <c r="C13" s="43"/>
      <c r="D13" s="43"/>
      <c r="E13" s="42" t="s">
        <v>203</v>
      </c>
    </row>
    <row r="15" customFormat="false" ht="15" hidden="false" customHeight="false" outlineLevel="0" collapsed="false">
      <c r="A15" s="44" t="s">
        <v>204</v>
      </c>
      <c r="B15" s="44"/>
      <c r="C15" s="44"/>
      <c r="D15" s="44"/>
      <c r="E15" s="44"/>
    </row>
    <row r="16" customFormat="false" ht="49.5" hidden="false" customHeight="true" outlineLevel="0" collapsed="false">
      <c r="A16" s="45" t="s">
        <v>205</v>
      </c>
      <c r="B16" s="46" t="s">
        <v>206</v>
      </c>
      <c r="C16" s="46"/>
      <c r="D16" s="46"/>
      <c r="E16" s="46"/>
    </row>
    <row r="17" customFormat="false" ht="49.5" hidden="false" customHeight="true" outlineLevel="0" collapsed="false">
      <c r="A17" s="45" t="s">
        <v>207</v>
      </c>
      <c r="B17" s="46" t="s">
        <v>208</v>
      </c>
      <c r="C17" s="46"/>
      <c r="D17" s="46"/>
      <c r="E17" s="46"/>
    </row>
    <row r="18" customFormat="false" ht="49.5" hidden="false" customHeight="true" outlineLevel="0" collapsed="false">
      <c r="A18" s="45" t="s">
        <v>209</v>
      </c>
      <c r="B18" s="46" t="s">
        <v>210</v>
      </c>
      <c r="C18" s="46"/>
      <c r="D18" s="46"/>
      <c r="E18" s="46"/>
    </row>
  </sheetData>
  <mergeCells count="6">
    <mergeCell ref="A1:E1"/>
    <mergeCell ref="A2:E2"/>
    <mergeCell ref="A15:E15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211</v>
      </c>
      <c r="B1" s="2"/>
    </row>
    <row r="3" customFormat="false" ht="15" hidden="false" customHeight="true" outlineLevel="0" collapsed="false">
      <c r="A3" s="5" t="s">
        <v>212</v>
      </c>
      <c r="B3" s="5"/>
    </row>
    <row r="4" customFormat="false" ht="31.5" hidden="false" customHeight="true" outlineLevel="0" collapsed="false">
      <c r="A4" s="47" t="s">
        <v>213</v>
      </c>
      <c r="B4" s="48" t="s">
        <v>214</v>
      </c>
    </row>
    <row r="5" customFormat="false" ht="19.5" hidden="false" customHeight="true" outlineLevel="0" collapsed="false">
      <c r="A5" s="47" t="s">
        <v>215</v>
      </c>
      <c r="B5" s="48" t="s">
        <v>216</v>
      </c>
    </row>
    <row r="7" customFormat="false" ht="19.5" hidden="false" customHeight="true" outlineLevel="0" collapsed="false">
      <c r="A7" s="47" t="s">
        <v>217</v>
      </c>
      <c r="B7" s="48" t="s">
        <v>218</v>
      </c>
    </row>
    <row r="8" customFormat="false" ht="19.5" hidden="false" customHeight="true" outlineLevel="0" collapsed="false">
      <c r="A8" s="47" t="s">
        <v>219</v>
      </c>
      <c r="B8" s="48" t="s">
        <v>220</v>
      </c>
    </row>
    <row r="9" customFormat="false" ht="31.5" hidden="false" customHeight="true" outlineLevel="0" collapsed="false">
      <c r="A9" s="47" t="s">
        <v>221</v>
      </c>
      <c r="B9" s="48" t="s">
        <v>222</v>
      </c>
    </row>
    <row r="11" customFormat="false" ht="31.5" hidden="false" customHeight="true" outlineLevel="0" collapsed="false">
      <c r="A11" s="47" t="s">
        <v>223</v>
      </c>
      <c r="B11" s="48" t="s">
        <v>224</v>
      </c>
    </row>
    <row r="12" customFormat="false" ht="31.5" hidden="false" customHeight="true" outlineLevel="0" collapsed="false">
      <c r="A12" s="47" t="s">
        <v>225</v>
      </c>
      <c r="B12" s="48" t="s">
        <v>226</v>
      </c>
    </row>
    <row r="13" customFormat="false" ht="31.5" hidden="false" customHeight="true" outlineLevel="0" collapsed="false">
      <c r="A13" s="47" t="s">
        <v>227</v>
      </c>
      <c r="B13" s="48" t="s">
        <v>228</v>
      </c>
    </row>
    <row r="15" customFormat="false" ht="48" hidden="false" customHeight="true" outlineLevel="0" collapsed="false">
      <c r="A15" s="47" t="s">
        <v>229</v>
      </c>
      <c r="B15" s="48" t="s">
        <v>230</v>
      </c>
    </row>
    <row r="16" customFormat="false" ht="31.5" hidden="false" customHeight="true" outlineLevel="0" collapsed="false">
      <c r="A16" s="47" t="s">
        <v>231</v>
      </c>
      <c r="B16" s="48" t="s">
        <v>232</v>
      </c>
    </row>
    <row r="17" customFormat="false" ht="19.5" hidden="false" customHeight="true" outlineLevel="0" collapsed="false">
      <c r="A17" s="47" t="s">
        <v>233</v>
      </c>
      <c r="B17" s="48" t="s">
        <v>234</v>
      </c>
    </row>
    <row r="18" customFormat="false" ht="31.5" hidden="false" customHeight="true" outlineLevel="0" collapsed="false">
      <c r="A18" s="47" t="s">
        <v>235</v>
      </c>
      <c r="B18" s="48" t="s">
        <v>236</v>
      </c>
    </row>
    <row r="20" customFormat="false" ht="31.5" hidden="false" customHeight="true" outlineLevel="0" collapsed="false">
      <c r="A20" s="47" t="s">
        <v>237</v>
      </c>
      <c r="B20" s="48" t="s">
        <v>238</v>
      </c>
    </row>
    <row r="21" customFormat="false" ht="19.5" hidden="false" customHeight="true" outlineLevel="0" collapsed="false">
      <c r="A21" s="47" t="s">
        <v>239</v>
      </c>
      <c r="B21" s="48" t="s">
        <v>240</v>
      </c>
    </row>
    <row r="23" customFormat="false" ht="79.5" hidden="false" customHeight="true" outlineLevel="0" collapsed="false">
      <c r="A23" s="47" t="s">
        <v>241</v>
      </c>
      <c r="B23" s="48" t="s">
        <v>242</v>
      </c>
    </row>
    <row r="25" customFormat="false" ht="49.5" hidden="false" customHeight="true" outlineLevel="0" collapsed="false">
      <c r="A25" s="47" t="s">
        <v>241</v>
      </c>
      <c r="B25" s="48" t="s">
        <v>243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2026-05-06T13:16:37Z</dcterms:created>
  <dc:creator>openpyxl</dc:creator>
  <dc:description/>
  <dc:language>en-US</dc:language>
  <cp:lastModifiedBy/>
  <dcterms:modified xsi:type="dcterms:W3CDTF">2026-05-06T23:35:13Z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