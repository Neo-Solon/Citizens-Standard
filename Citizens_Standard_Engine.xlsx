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jection" sheetId="2" state="visible" r:id="rId4"/>
    <sheet name="Summary" sheetId="3" state="visible" r:id="rId5"/>
    <sheet name="Comparison" sheetId="4" state="visible" r:id="rId6"/>
    <sheet name="Stress Test" sheetId="5" state="visible" r:id="rId7"/>
    <sheet name="Mode Presets" sheetId="6" state="visible" r:id="rId8"/>
    <sheet name="How It Wor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Auto-calculated from Mode preset. K3 is only active in Mode C.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Money supply, nominal</t>
        </r>
      </text>
    </comment>
    <comment ref="C4" authorId="0">
      <text>
        <r>
          <rPr>
            <sz val="10"/>
            <rFont val="Arial"/>
            <family val="2"/>
          </rPr>
          <t xml:space="preserve">Nominal GDP</t>
        </r>
      </text>
    </comment>
    <comment ref="D4" authorId="0">
      <text>
        <r>
          <rPr>
            <sz val="10"/>
            <rFont val="Arial"/>
            <family val="2"/>
          </rPr>
          <t xml:space="preserve">Citizens</t>
        </r>
      </text>
    </comment>
    <comment ref="E4" authorId="0">
      <text>
        <r>
          <rPr>
            <sz val="10"/>
            <rFont val="Arial"/>
            <family val="2"/>
          </rPr>
          <t xml:space="preserve">Price level, 1.0 at launch</t>
        </r>
      </text>
    </comment>
    <comment ref="F4" authorId="0">
      <text>
        <r>
          <rPr>
            <sz val="10"/>
            <rFont val="Arial"/>
            <family val="2"/>
          </rPr>
          <t xml:space="preserve">New citizens this year</t>
        </r>
      </text>
    </comment>
    <comment ref="G4" authorId="0">
      <text>
        <r>
          <rPr>
            <sz val="10"/>
            <rFont val="Arial"/>
            <family val="2"/>
          </rPr>
          <t xml:space="preserve">Citizenship endowment, all new citizens</t>
        </r>
      </text>
    </comment>
    <comment ref="H4" authorId="0">
      <text>
        <r>
          <rPr>
            <sz val="10"/>
            <rFont val="Arial"/>
            <family val="2"/>
          </rPr>
          <t xml:space="preserve">Growth dividend pool</t>
        </r>
      </text>
    </comment>
    <comment ref="I4" authorId="0">
      <text>
        <r>
          <rPr>
            <sz val="10"/>
            <rFont val="Arial"/>
            <family val="2"/>
          </rPr>
          <t xml:space="preserve">Citizen dividend pool</t>
        </r>
      </text>
    </comment>
    <comment ref="J4" authorId="0">
      <text>
        <r>
          <rPr>
            <sz val="10"/>
            <rFont val="Arial"/>
            <family val="2"/>
          </rPr>
          <t xml:space="preserve">Annual locked deposit</t>
        </r>
      </text>
    </comment>
    <comment ref="K4" authorId="0">
      <text>
        <r>
          <rPr>
            <sz val="10"/>
            <rFont val="Arial"/>
            <family val="2"/>
          </rPr>
          <t xml:space="preserve">Spendable dividend</t>
        </r>
      </text>
    </comment>
    <comment ref="L4" authorId="0">
      <text>
        <r>
          <rPr>
            <sz val="10"/>
            <rFont val="Arial"/>
            <family val="2"/>
          </rPr>
          <t xml:space="preserve">Locked equity, our representative</t>
        </r>
      </text>
    </comment>
    <comment ref="M4" authorId="0">
      <text>
        <r>
          <rPr>
            <sz val="10"/>
            <rFont val="Arial"/>
            <family val="2"/>
          </rPr>
          <t xml:space="preserve">Today-dollar purchasing power</t>
        </r>
      </text>
    </comment>
    <comment ref="N4" authorId="0">
      <text>
        <r>
          <rPr>
            <sz val="10"/>
            <rFont val="Arial"/>
            <family val="2"/>
          </rPr>
          <t xml:space="preserve">Lifetime dividend in today dollars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Vanguard, How America Saves 2025. Median balance for participants age 55-64.</t>
        </r>
      </text>
    </comment>
    <comment ref="B6" authorId="0">
      <text>
        <r>
          <rPr>
            <sz val="10"/>
            <rFont val="Arial"/>
            <family val="2"/>
          </rPr>
          <t xml:space="preserve">Source: Vanguard, How America Saves 2025. Average is skewed by high-balance accounts.</t>
        </r>
      </text>
    </comment>
    <comment ref="B7" authorId="0">
      <text>
        <r>
          <rPr>
            <sz val="10"/>
            <rFont val="Arial"/>
            <family val="2"/>
          </rPr>
          <t xml:space="preserve">Source: SSA Monthly Statistical Snapshot, March 2026. $2,079.49/mo × 12 months.</t>
        </r>
      </text>
    </comment>
    <comment ref="B8" authorId="0">
      <text>
        <r>
          <rPr>
            <sz val="10"/>
            <rFont val="Arial"/>
            <family val="2"/>
          </rPr>
          <t xml:space="preserve">Source: 2025 SSA Trustees Report. After OASI trust depletion (~2034), only 77-81% of scheduled benefits payable.</t>
        </r>
      </text>
    </comment>
    <comment ref="B9" authorId="0">
      <text>
        <r>
          <rPr>
            <sz val="10"/>
            <rFont val="Arial"/>
            <family val="2"/>
          </rPr>
          <t xml:space="preserve">Alaska Department of Revenue. Recent dividends $1,200-$3,300/year; default mid-range value.</t>
        </r>
      </text>
    </comment>
    <comment ref="B10" authorId="0">
      <text>
        <r>
          <rPr>
            <sz val="10"/>
            <rFont val="Arial"/>
            <family val="2"/>
          </rPr>
          <t xml:space="preserve">Yang-style $1,000/mo UBI. Funded by tax (not seigniorage). Adjustable.</t>
        </r>
      </text>
    </comment>
    <comment ref="B11" authorId="0">
      <text>
        <r>
          <rPr>
            <sz val="10"/>
            <rFont val="Arial"/>
            <family val="2"/>
          </rPr>
          <t xml:space="preserve">Common MMT proposal: $15/hr × 2080 hrs annually.</t>
        </r>
      </text>
    </comment>
    <comment ref="B13" authorId="0">
      <text>
        <r>
          <rPr>
            <sz val="10"/>
            <rFont val="Arial"/>
            <family val="2"/>
          </rPr>
          <t xml:space="preserve">Type one of: median, average, ss-cut. The comparison table updates accordingly.</t>
        </r>
      </text>
    </comment>
    <comment ref="B17" authorId="0">
      <text>
        <r>
          <rPr>
            <sz val="10"/>
            <rFont val="Arial"/>
            <family val="2"/>
          </rPr>
          <t xml:space="preserve">Citizens Standard: pulls Stable Floor from Summary sheet.</t>
        </r>
      </text>
    </comment>
    <comment ref="B18" authorId="0">
      <text>
        <r>
          <rPr>
            <sz val="10"/>
            <rFont val="Arial"/>
            <family val="2"/>
          </rPr>
          <t xml:space="preserve">Citizens Standard: cumulative K3 in real dollars.</t>
        </r>
      </text>
    </comment>
    <comment ref="B19" authorId="0">
      <text>
        <r>
          <rPr>
            <sz val="10"/>
            <rFont val="Arial"/>
            <family val="2"/>
          </rPr>
          <t xml:space="preserve">CS: 4% withdrawal of Stable Floor + ongoing K3.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1" authorId="0">
      <text>
        <r>
          <rPr>
            <sz val="10"/>
            <rFont val="Arial"/>
            <family val="2"/>
          </rPr>
          <t xml:space="preserve">Stable Floor at horizon under steady equity return + steady CPI assumptions.</t>
        </r>
      </text>
    </comment>
  </commentList>
</comments>
</file>

<file path=xl/sharedStrings.xml><?xml version="1.0" encoding="utf-8"?>
<sst xmlns="http://schemas.openxmlformats.org/spreadsheetml/2006/main" count="335" uniqueCount="272">
  <si>
    <t xml:space="preserve">Citizens Standard — Interactive Model Builder</t>
  </si>
  <si>
    <t xml:space="preserve">Adjust the yellow cells; everything else recalculates. Mode A = maximum wealth (deflation). Mode B = stable prices. Mode C = monthly dividend (inflation). See Mode Presets sheet for reference values.</t>
  </si>
  <si>
    <t xml:space="preserve">Mode preset</t>
  </si>
  <si>
    <t xml:space="preserve">Mode (A / B / C / custom)</t>
  </si>
  <si>
    <t xml:space="preserve">B</t>
  </si>
  <si>
    <t xml:space="preserve">Active configuration</t>
  </si>
  <si>
    <t xml:space="preserve">Parameter</t>
  </si>
  <si>
    <t xml:space="preserve">Value</t>
  </si>
  <si>
    <t xml:space="preserve">Unit</t>
  </si>
  <si>
    <t xml:space="preserve">Notes</t>
  </si>
  <si>
    <t xml:space="preserve">Issuance channels (K-values)</t>
  </si>
  <si>
    <t xml:space="preserve">K1 — Citizenship endowment</t>
  </si>
  <si>
    <t xml:space="preserve">% of GDP/capita per new citizen</t>
  </si>
  <si>
    <t xml:space="preserve">Mode A: 2.5%. Constitutional ceiling 5% (normal), 7.5% emergency.</t>
  </si>
  <si>
    <t xml:space="preserve">K2 — Growth dividend</t>
  </si>
  <si>
    <t xml:space="preserve">K3 — Citizen dividend</t>
  </si>
  <si>
    <t xml:space="preserve">% of M2 issued annually as monthly dividend</t>
  </si>
  <si>
    <t xml:space="preserve">Mode A &amp; B: 0%. Mode C: ~4% (calibrated to hit 2% inflation target).</t>
  </si>
  <si>
    <t xml:space="preserve">Macro environment</t>
  </si>
  <si>
    <t xml:space="preserve">Real GDP growth rate</t>
  </si>
  <si>
    <t xml:space="preserve">annual</t>
  </si>
  <si>
    <t xml:space="preserve">Long-run US average ~2%. Drops in recessions.</t>
  </si>
  <si>
    <t xml:space="preserve">Population growth rate</t>
  </si>
  <si>
    <t xml:space="preserve">US recent: 0.5%. Sets new-citizen K1 deposits.</t>
  </si>
  <si>
    <t xml:space="preserve">CPI inflation rate</t>
  </si>
  <si>
    <t xml:space="preserve">Equity index real return</t>
  </si>
  <si>
    <t xml:space="preserve">Stable Floor compounds at this rate (after-inflation if CPI=0; nominal otherwise — see notes).</t>
  </si>
  <si>
    <t xml:space="preserve">Launch conditions (year 0)</t>
  </si>
  <si>
    <t xml:space="preserve">M2 money supply</t>
  </si>
  <si>
    <t xml:space="preserve">dollars</t>
  </si>
  <si>
    <t xml:space="preserve">US M2 in launch year. Determines circulating pool size.</t>
  </si>
  <si>
    <t xml:space="preserve">Nominal GDP</t>
  </si>
  <si>
    <t xml:space="preserve">US GDP in launch year.</t>
  </si>
  <si>
    <t xml:space="preserve">Population</t>
  </si>
  <si>
    <t xml:space="preserve">citizens</t>
  </si>
  <si>
    <t xml:space="preserve">Verified citizens at launch.</t>
  </si>
  <si>
    <t xml:space="preserve">Projection horizon</t>
  </si>
  <si>
    <t xml:space="preserve">years</t>
  </si>
  <si>
    <t xml:space="preserve">Cohort tracked from age 0 to this age.</t>
  </si>
  <si>
    <t xml:space="preserve">Withdrawal rate at horizon</t>
  </si>
  <si>
    <t xml:space="preserve">% of Stable Floor</t>
  </si>
  <si>
    <t xml:space="preserve">Conventional 4% safe withdrawal rate.</t>
  </si>
  <si>
    <t xml:space="preserve">Year-by-year simulation</t>
  </si>
  <si>
    <t xml:space="preserve">All values computed from Inputs. Black text = formulas. Do not edit.</t>
  </si>
  <si>
    <t xml:space="preserve">Year</t>
  </si>
  <si>
    <t xml:space="preserve">M2 ($)</t>
  </si>
  <si>
    <t xml:space="preserve">GDP ($)</t>
  </si>
  <si>
    <t xml:space="preserve">CPI index</t>
  </si>
  <si>
    <t xml:space="preserve">Births</t>
  </si>
  <si>
    <t xml:space="preserve">K1 total ($)</t>
  </si>
  <si>
    <t xml:space="preserve">K2 total ($)</t>
  </si>
  <si>
    <t xml:space="preserve">K3 total ($)</t>
  </si>
  <si>
    <t xml:space="preserve">K2 / citizen</t>
  </si>
  <si>
    <t xml:space="preserve">K3 monthly / citizen</t>
  </si>
  <si>
    <t xml:space="preserve">Cohort floor (nominal $)</t>
  </si>
  <si>
    <t xml:space="preserve">Cohort floor (real $)</t>
  </si>
  <si>
    <t xml:space="preserve">Cohort K3 cumulative (real $)</t>
  </si>
  <si>
    <t xml:space="preserve">Headline outcomes at horizon</t>
  </si>
  <si>
    <t xml:space="preserve">Pulled live from Projection sheet using the Inputs!horizon value.</t>
  </si>
  <si>
    <t xml:space="preserve">Output</t>
  </si>
  <si>
    <t xml:space="preserve">Definition</t>
  </si>
  <si>
    <t xml:space="preserve">Stable Floor at horizon (real $)</t>
  </si>
  <si>
    <t xml:space="preserve">Locked equity for one citizen, in launch-year purchasing power.</t>
  </si>
  <si>
    <t xml:space="preserve">Annual real income at horizon</t>
  </si>
  <si>
    <t xml:space="preserve">Stable Floor × withdrawal rate.</t>
  </si>
  <si>
    <t xml:space="preserve">K3 monthly dividend, year 1</t>
  </si>
  <si>
    <t xml:space="preserve">K3 spendable dividend per citizen, first year.</t>
  </si>
  <si>
    <t xml:space="preserve">K3 cumulative lifetime (real $)</t>
  </si>
  <si>
    <t xml:space="preserve">Total dividend received by horizon, today dollars.</t>
  </si>
  <si>
    <t xml:space="preserve">Total real wealth at horizon</t>
  </si>
  <si>
    <t xml:space="preserve">Stable Floor + cumulative K3 (both real $).</t>
  </si>
  <si>
    <t xml:space="preserve">Total issuance / M2, year 1</t>
  </si>
  <si>
    <t xml:space="preserve">Annual K1+K2+K3 as fraction of money supply.</t>
  </si>
  <si>
    <t xml:space="preserve">Total issuance / GDP, year 1</t>
  </si>
  <si>
    <t xml:space="preserve">Annual K1+K2+K3 as fraction of GDP.</t>
  </si>
  <si>
    <t xml:space="preserve">M2 at horizon ($)</t>
  </si>
  <si>
    <t xml:space="preserve">Final money supply.</t>
  </si>
  <si>
    <t xml:space="preserve">GDP at horizon ($)</t>
  </si>
  <si>
    <t xml:space="preserve">Final nominal GDP.</t>
  </si>
  <si>
    <t xml:space="preserve">Population at horizon</t>
  </si>
  <si>
    <t xml:space="preserve">Final citizen count.</t>
  </si>
  <si>
    <t xml:space="preserve">CPI index at horizon</t>
  </si>
  <si>
    <t xml:space="preserve">Price level relative to launch (1.0 = no change).</t>
  </si>
  <si>
    <t xml:space="preserve">How does the Citizens Standard compare to real-world outcomes?</t>
  </si>
  <si>
    <t xml:space="preserve">Each column shows what one citizen actually receives under that system, using real-world median data — not theoretical maximums. Toggle the scenario in the yellow cell below to switch between median, average, and post-SS-cut outcomes.</t>
  </si>
  <si>
    <t xml:space="preserve">Real-world data anchors</t>
  </si>
  <si>
    <t xml:space="preserve">Median 401(k) at age 55-64</t>
  </si>
  <si>
    <t xml:space="preserve">Vanguard 2025 — half of Americans have less</t>
  </si>
  <si>
    <t xml:space="preserve">Average 401(k) at age 55-64</t>
  </si>
  <si>
    <t xml:space="preserve">Vanguard 2025 — skewed by top earners</t>
  </si>
  <si>
    <t xml:space="preserve">Average SS benefit (annual)</t>
  </si>
  <si>
    <t xml:space="preserve">SSA Mar 2026 — $2,079.49/mo × 12</t>
  </si>
  <si>
    <t xml:space="preserve">SS benefit cut after trust depletion</t>
  </si>
  <si>
    <t xml:space="preserve">2025 SSA Trustees Report — projected ~2034</t>
  </si>
  <si>
    <t xml:space="preserve">Alaska PFD (annual)</t>
  </si>
  <si>
    <t xml:space="preserve">Alaska DOR — recent average</t>
  </si>
  <si>
    <t xml:space="preserve">UBI proposal (monthly)</t>
  </si>
  <si>
    <t xml:space="preserve">Adjustable — common UBI proposal level</t>
  </si>
  <si>
    <t xml:space="preserve">MMT jobs guarantee wage</t>
  </si>
  <si>
    <t xml:space="preserve">$15/hr × 2080 hrs</t>
  </si>
  <si>
    <t xml:space="preserve">Scenario</t>
  </si>
  <si>
    <t xml:space="preserve">median</t>
  </si>
  <si>
    <t xml:space="preserve">Type: median, average, or ss-cut</t>
  </si>
  <si>
    <t xml:space="preserve">Lifetime delivery to one citizen, age 0 → horizon</t>
  </si>
  <si>
    <t xml:space="preserve">Metric</t>
  </si>
  <si>
    <t xml:space="preserve">Citizens
Standard</t>
  </si>
  <si>
    <t xml:space="preserve">Fed status quo
+ SS</t>
  </si>
  <si>
    <t xml:space="preserve">Chicago
Plan</t>
  </si>
  <si>
    <t xml:space="preserve">Friedman
k-rule</t>
  </si>
  <si>
    <t xml:space="preserve">Bitcoin /
fixed supply</t>
  </si>
  <si>
    <t xml:space="preserve">Alaska PFD
(US-scale)</t>
  </si>
  <si>
    <t xml:space="preserve">UBI
(tax-funded)</t>
  </si>
  <si>
    <t xml:space="preserve">MMT + jobs
guarantee</t>
  </si>
  <si>
    <t xml:space="preserve">Wealth at horizon (real $)</t>
  </si>
  <si>
    <t xml:space="preserve">Lifetime cash transfers (real $)</t>
  </si>
  <si>
    <t xml:space="preserve">Annual retirement income</t>
  </si>
  <si>
    <t xml:space="preserve">Structural properties</t>
  </si>
  <si>
    <t xml:space="preserve">Rules-based (no committee discretion)</t>
  </si>
  <si>
    <t xml:space="preserve">✓</t>
  </si>
  <si>
    <t xml:space="preserve">✗</t>
  </si>
  <si>
    <t xml:space="preserve">partial</t>
  </si>
  <si>
    <t xml:space="preserve">Per-citizen distribution</t>
  </si>
  <si>
    <t xml:space="preserve">Real-growth response</t>
  </si>
  <si>
    <t xml:space="preserve">Crisis response capacity</t>
  </si>
  <si>
    <t xml:space="preserve">bounded</t>
  </si>
  <si>
    <t xml:space="preserve">unbounded</t>
  </si>
  <si>
    <t xml:space="preserve">limited</t>
  </si>
  <si>
    <t xml:space="preserve">none</t>
  </si>
  <si>
    <t xml:space="preserve">Constitutional / hard to revoke</t>
  </si>
  <si>
    <t xml:space="preserve">Funded by</t>
  </si>
  <si>
    <t xml:space="preserve">Seigniorage</t>
  </si>
  <si>
    <t xml:space="preserve">Mixed</t>
  </si>
  <si>
    <t xml:space="preserve">Govt seigniorage</t>
  </si>
  <si>
    <t xml:space="preserve">Fed seigniorage</t>
  </si>
  <si>
    <t xml:space="preserve">Mining rewards</t>
  </si>
  <si>
    <t xml:space="preserve">Resource royalty</t>
  </si>
  <si>
    <t xml:space="preserve">Taxation</t>
  </si>
  <si>
    <t xml:space="preserve">Treasury seigniorage</t>
  </si>
  <si>
    <t xml:space="preserve">Honest caveats</t>
  </si>
  <si>
    <t xml:space="preserve">Citizens Standard</t>
  </si>
  <si>
    <t xml:space="preserve">Single-cohort projection with constant rates. K3 modeled as flat % of M2 (not full price-level path targeting). Real values use your CPI input.</t>
  </si>
  <si>
    <t xml:space="preserve">Fed status quo</t>
  </si>
  <si>
    <t xml:space="preserve">Uses real-world median 401(k) balance ($87,571 at 55-64, Vanguard 2025) — what Americans actually retire with, not what disciplined savers theoretically could. Add SS at scenario-appropriate level.</t>
  </si>
  <si>
    <t xml:space="preserve">Chicago Plan</t>
  </si>
  <si>
    <t xml:space="preserve">1933 proposal eliminated bank money creation but never specified seigniorage distribution. Citizens still rely on personal savings.</t>
  </si>
  <si>
    <t xml:space="preserve">Friedman k-rule</t>
  </si>
  <si>
    <t xml:space="preserve">Specified rate of monetary expansion but never the distribution channel. Nothing reaches citizens directly.</t>
  </si>
  <si>
    <t xml:space="preserve">Bitcoin</t>
  </si>
  <si>
    <t xml:space="preserve">Treated as savings vehicle with same equity-equivalent return for fair comparison. Real Bitcoin returns have been wildly volatile.</t>
  </si>
  <si>
    <t xml:space="preserve">Alaska PFD</t>
  </si>
  <si>
    <t xml:space="preserve">Modeled at $1,700/yr default. Real Alaska PFD funded by oil royalties, not seigniorage.</t>
  </si>
  <si>
    <t xml:space="preserve">UBI</t>
  </si>
  <si>
    <t xml:space="preserve">Funded by taxation, not money creation. Fiscal sustainability question is real and unresolved at scale.</t>
  </si>
  <si>
    <t xml:space="preserve">MMT</t>
  </si>
  <si>
    <t xml:space="preserve">Assumes citizen employed in jobs guarantee for full 43-year working life. Inflation control depends on tax policy responding correctly to demand pressure.</t>
  </si>
  <si>
    <t xml:space="preserve">Data sources</t>
  </si>
  <si>
    <t xml:space="preserve">Vanguard, How America Saves 2025: median 401(k) at 55-64 = $87,571; average = $244,750.</t>
  </si>
  <si>
    <t xml:space="preserve">Social Security Administration, Monthly Statistical Snapshot, March 2026: average retired-worker benefit = $2,079.49/month.</t>
  </si>
  <si>
    <t xml:space="preserve">2025 SSA Trustees Report: OASI trust fund projected to deplete ~2034; benefits cut to ~77-81% of scheduled.</t>
  </si>
  <si>
    <t xml:space="preserve">SSA/CBO replacement rate analyses: ~37-42% for average earner.</t>
  </si>
  <si>
    <t xml:space="preserve">Alaska Department of Revenue: PFD historical range $1,200-$3,300/year.</t>
  </si>
  <si>
    <t xml:space="preserve">Stress Test — Historical Adverse Sequences</t>
  </si>
  <si>
    <t xml:space="preserve">What happens to the Stable Floor when a citizen lives through a real historical bad period? Each scenario applies year-by-year actual returns and inflation from a real era. The framework's structural advantage is what survives this stress test.</t>
  </si>
  <si>
    <t xml:space="preserve">Age</t>
  </si>
  <si>
    <t xml:space="preserve">Smooth baseline</t>
  </si>
  <si>
    <t xml:space="preserve">Great Depression (1929-1944)</t>
  </si>
  <si>
    <t xml:space="preserve">1970s Stagflation (1966-1982)</t>
  </si>
  <si>
    <t xml:space="preserve">2000s Lost Decade (2000-2009)</t>
  </si>
  <si>
    <t xml:space="preserve">Return</t>
  </si>
  <si>
    <t xml:space="preserve">CPI</t>
  </si>
  <si>
    <t xml:space="preserve">Floor (nom)</t>
  </si>
  <si>
    <t xml:space="preserve">Floor (real)</t>
  </si>
  <si>
    <t xml:space="preserve">Headline outputs at horizon</t>
  </si>
  <si>
    <t xml:space="preserve">4% withdrawal income</t>
  </si>
  <si>
    <t xml:space="preserve">vs. smooth baseline</t>
  </si>
  <si>
    <t xml:space="preserve">× median American</t>
  </si>
  <si>
    <t xml:space="preserve">Smooth baseline (no shocks)</t>
  </si>
  <si>
    <t xml:space="preserve">(reference)</t>
  </si>
  <si>
    <t xml:space="preserve">Great Depression (age 25-40)</t>
  </si>
  <si>
    <t xml:space="preserve">1970s Stagflation (age 30-46)</t>
  </si>
  <si>
    <t xml:space="preserve">2000s Lost Decade (age 35-44)</t>
  </si>
  <si>
    <t xml:space="preserve">Sources for historical sequences</t>
  </si>
  <si>
    <t xml:space="preserve">Robert Shiller's annual real returns dataset (Yale University, 1871-present): http://www.econ.yale.edu/~shiller/data.htm</t>
  </si>
  <si>
    <t xml:space="preserve">BLS Consumer Price Index Historical Tables (annual averages, 1913-present)</t>
  </si>
  <si>
    <t xml:space="preserve">Great Depression sequence (1929-1944): real annualized return ≈ +1.5% with severe year-to-year variation; CPI deflation 1929-1933 then mild inflation</t>
  </si>
  <si>
    <t xml:space="preserve">1970s Stagflation sequence (1966-1982): real annualized return ≈ -1.0%; CPI annualized ≈ 7.5% with peaks above 13%</t>
  </si>
  <si>
    <t xml:space="preserve">2000s Lost Decade sequence (2000-2009): real annualized return ≈ -3.0% (dot-com crash + GFC); CPI annualized ≈ 2.5%</t>
  </si>
  <si>
    <t xml:space="preserve">Mode reference values from the paper</t>
  </si>
  <si>
    <t xml:space="preserve">Copy these into the Inputs sheet to replay any of the three constitutional Modes.</t>
  </si>
  <si>
    <t xml:space="preserve">What each Mode optimizes</t>
  </si>
  <si>
    <t xml:space="preserve">Mode A — Maximum wealth (deflation)</t>
  </si>
  <si>
    <t xml:space="preserve">Mode B — Stable prices (neutral)</t>
  </si>
  <si>
    <t xml:space="preserve">Mode C — Monthly dividend (inflation)</t>
  </si>
  <si>
    <t xml:space="preserve">K1 — Citizenship</t>
  </si>
  <si>
    <t xml:space="preserve">2.5%</t>
  </si>
  <si>
    <t xml:space="preserve">Identical across modes — anchor the citizenship endowment.</t>
  </si>
  <si>
    <t xml:space="preserve">K2 — Growth</t>
  </si>
  <si>
    <t xml:space="preserve">12.5%</t>
  </si>
  <si>
    <t xml:space="preserve">84%</t>
  </si>
  <si>
    <t xml:space="preserve">Mode B raises K2 share to absorb full real-growth issuance.</t>
  </si>
  <si>
    <t xml:space="preserve">K3 — Dividend</t>
  </si>
  <si>
    <t xml:space="preserve">0%</t>
  </si>
  <si>
    <t xml:space="preserve">~4.0%</t>
  </si>
  <si>
    <t xml:space="preserve">Mode C only. Calibrated by price-level path targeting.</t>
  </si>
  <si>
    <t xml:space="preserve">CPI target</t>
  </si>
  <si>
    <t xml:space="preserve">-1.6%</t>
  </si>
  <si>
    <t xml:space="preserve">+2.0%</t>
  </si>
  <si>
    <t xml:space="preserve">The defining macro outcome of each mode.</t>
  </si>
  <si>
    <t xml:space="preserve">Stable Floor at 65 (real)</t>
  </si>
  <si>
    <t xml:space="preserve">$1.7M</t>
  </si>
  <si>
    <t xml:space="preserve">$2.6M</t>
  </si>
  <si>
    <t xml:space="preserve">$145K</t>
  </si>
  <si>
    <t xml:space="preserve">Mode A wins on long-run wealth; Mode C trades it for dividends.</t>
  </si>
  <si>
    <t xml:space="preserve">Annual real income at 65</t>
  </si>
  <si>
    <t xml:space="preserve">$68K</t>
  </si>
  <si>
    <t xml:space="preserve">$105K</t>
  </si>
  <si>
    <t xml:space="preserve">$5.8K + K3</t>
  </si>
  <si>
    <t xml:space="preserve">4% withdrawal rate, plus ongoing K3 in Mode C.</t>
  </si>
  <si>
    <t xml:space="preserve">K3 monthly dividend, yr 1</t>
  </si>
  <si>
    <t xml:space="preserve">$0</t>
  </si>
  <si>
    <t xml:space="preserve">$208</t>
  </si>
  <si>
    <t xml:space="preserve">Per citizen, rises with M2 over time.</t>
  </si>
  <si>
    <t xml:space="preserve">Total issuance / M2</t>
  </si>
  <si>
    <t xml:space="preserve">~0.35%</t>
  </si>
  <si>
    <t xml:space="preserve">~2.5%</t>
  </si>
  <si>
    <t xml:space="preserve">~4.1%</t>
  </si>
  <si>
    <t xml:space="preserve">Annual issuance as fraction of money supply.</t>
  </si>
  <si>
    <t xml:space="preserve">Constitutional change</t>
  </si>
  <si>
    <t xml:space="preserve">Tier 2: 67% supermajority + 90-day deliberation</t>
  </si>
  <si>
    <t xml:space="preserve">Modes do NOT auto-rotate. Selection is a constitutional act.</t>
  </si>
  <si>
    <t xml:space="preserve">Mode philosophy</t>
  </si>
  <si>
    <t xml:space="preserve">Mode A</t>
  </si>
  <si>
    <t xml:space="preserve">Maximum lifetime wealth via gentle deflation. No monthly dividend. K2 contracts to ~12.5% so most of real growth flows to falling prices rather than expanding M2. The Stable Floor compounds aggressively because purchasing power rises over time. Best for retirement-focused societies.</t>
  </si>
  <si>
    <t xml:space="preserve">Mode B</t>
  </si>
  <si>
    <t xml:space="preserve">Price stability. K2 expanded to ~84% so circulating money matches real growth exactly — no monetary inflation, no monetary deflation. Highest possible Stable Floor wealth without dividend. Default neutral mode.</t>
  </si>
  <si>
    <t xml:space="preserve">Mode C</t>
  </si>
  <si>
    <t xml:space="preserve">Monthly citizen dividend at the cost of lower locked wealth. K3 activates (~4% of M2) and is calibrated by price-level path targeting to hit ~2% inflation. Citizens get ~$208/month at launch (rising over time) plus a smaller Stable Floor.</t>
  </si>
  <si>
    <t xml:space="preserve">Formula reference and assumptions — Interactive Model Builder</t>
  </si>
  <si>
    <t xml:space="preserve">Architecture</t>
  </si>
  <si>
    <t xml:space="preserve">Two pools</t>
  </si>
  <si>
    <t xml:space="preserve">Circulating money (M2) and the Citizen Equity Stake (Stable Floor). They intersect only at K1/K2 issuance and at retirement withdrawals.</t>
  </si>
  <si>
    <t xml:space="preserve">Three channels</t>
  </si>
  <si>
    <t xml:space="preserve">K1 fires once per new citizen. K2 fires every year. K3 fires monthly (active in Mode C).</t>
  </si>
  <si>
    <t xml:space="preserve">K1 formula</t>
  </si>
  <si>
    <t xml:space="preserve">K1 total = K1_share × (GDP / population) × births_this_year</t>
  </si>
  <si>
    <t xml:space="preserve">K2 formula</t>
  </si>
  <si>
    <t xml:space="preserve">K2 total = K2_share × (GDP × real_growth_rate)</t>
  </si>
  <si>
    <t xml:space="preserve">K3 formula</t>
  </si>
  <si>
    <t xml:space="preserve">K3 total = K3_share × M2  (paper uses price-level path targeting; this engine uses a flat % of M2 as the simplified equivalent)</t>
  </si>
  <si>
    <t xml:space="preserve">Stable Floor</t>
  </si>
  <si>
    <t xml:space="preserve">For our representative cohort (born at t=0): floor compounds at the equity return rate. K1 is deposited once at birth; K2 is deposited every year. Both lock until retirement.</t>
  </si>
  <si>
    <t xml:space="preserve">Real values</t>
  </si>
  <si>
    <t xml:space="preserve">CPI index starts at 1.0 and grows at the CPI inflation rate. Real value = nominal / CPI index.</t>
  </si>
  <si>
    <t xml:space="preserve">K3 distribution</t>
  </si>
  <si>
    <t xml:space="preserve">K3 is unlocked, immediately spendable, deposited monthly into citizen transaction accounts.</t>
  </si>
  <si>
    <t xml:space="preserve">Simplifications</t>
  </si>
  <si>
    <t xml:space="preserve">This engine is a single-cohort projection with constant rates. The full paper models stochastic returns, mode transitions, sequence-of-returns risk, and emergency tools. Use this for intuition, not policy calibration.</t>
  </si>
  <si>
    <t xml:space="preserve">Equity return</t>
  </si>
  <si>
    <t xml:space="preserve">Treated as nominal in this model. If you want real returns, set CPI=0 and the equity return is automatically real.</t>
  </si>
  <si>
    <t xml:space="preserve">Births formula</t>
  </si>
  <si>
    <t xml:space="preserve">Births = pop × pop_growth_rate. Real demographics are more complex; this is a proxy.</t>
  </si>
  <si>
    <t xml:space="preserve">Mode C K3 calibration</t>
  </si>
  <si>
    <t xml:space="preserve">The paper calibrates K3 dynamically to close the cumulative CPI gap. Setting K3 to a flat ~4% of M2 reproduces the launch-year value but not the dynamic behavior.</t>
  </si>
  <si>
    <t xml:space="preserve">Color code</t>
  </si>
  <si>
    <t xml:space="preserve">Blue = adjustable input. Black = formula. Green = pulled from another sheet. Yellow highlight = change me.</t>
  </si>
  <si>
    <t xml:space="preserve">Built from</t>
  </si>
  <si>
    <t xml:space="preserve">The Citizens Standard, Triple-Mode Edition (May 2026), by Neo-Solon.</t>
  </si>
  <si>
    <t xml:space="preserve">Comparison sheet</t>
  </si>
  <si>
    <t xml:space="preserve">Side-by-side view of Citizens Standard against 7 alternative systems using real-world median data (Vanguard 2025, SSA March 2026). Type "median", "average", or "ss-cut" in the yellow scenario cell at the top of the Comparison sheet to toggle outcomes. The "Real-world data anchors" section cites every source — these aren't theoretical maximums but what Americans actually retire with.</t>
  </si>
  <si>
    <t xml:space="preserve">Side-by-side view of Citizens Standard against 7 alternative systems (Fed status quo, Chicago Plan, Friedman k-rule, Bitcoin, Alaska PFD, UBI, MMT). Adjust the comparison-specific assumptions at the top of that sheet.</t>
  </si>
  <si>
    <t xml:space="preserve">Stress Test sheet</t>
  </si>
  <si>
    <t xml:space="preserve">Year-by-year simulation of the Stable Floor under three real historical adverse sequences (Great Depression 1929-1944, 1970s Stagflation 1966-1982, 2000s Lost Decade 2000-2009) plus the smooth baseline. Returns and CPI for stress periods come from Robert Shiller's dataset and BLS historical CPI. Headline outputs at top show Stable Floor at horizon, 4% withdrawal income, percent change vs. baseline, and the multiple of $87,571 (median American 401k at 55-64). Adjust your equity return and CPI inputs on the Inputs sheet to see how different baseline assumptions change the stress test outcomes.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</si>
</sst>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;\(0.00%\);\-"/>
    <numFmt numFmtId="166" formatCode="0.00%;\(0.00%\);\-"/>
    <numFmt numFmtId="167" formatCode="\$#,##0;&quot;($&quot;#,##0\);\-"/>
    <numFmt numFmtId="168" formatCode="#,##0;\(#,##0\);\-"/>
    <numFmt numFmtId="169" formatCode="0"/>
    <numFmt numFmtId="170" formatCode="0.0000"/>
    <numFmt numFmtId="171" formatCode="\$#,##0.00;&quot;($&quot;#,##0.00\);\-"/>
    <numFmt numFmtId="172" formatCode="0.0%;\(0.0%\);\-"/>
    <numFmt numFmtId="173" formatCode="0.0\×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A32D2D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FE8"/>
        <bgColor rgb="FFFCEBEB"/>
      </patternFill>
    </fill>
    <fill>
      <patternFill patternType="solid">
        <fgColor rgb="FFFFFF00"/>
        <bgColor rgb="FFFFFF00"/>
      </patternFill>
    </fill>
    <fill>
      <patternFill patternType="solid">
        <fgColor rgb="FFE6F1FB"/>
        <bgColor rgb="FFE1F5EE"/>
      </patternFill>
    </fill>
    <fill>
      <patternFill patternType="solid">
        <fgColor rgb="FFE1F5EE"/>
        <bgColor rgb="FFE6F1FB"/>
      </patternFill>
    </fill>
    <fill>
      <patternFill patternType="solid">
        <fgColor rgb="FFFFFCE6"/>
        <bgColor rgb="FFF1EFE8"/>
      </patternFill>
    </fill>
    <fill>
      <patternFill patternType="solid">
        <fgColor rgb="FFFCEBEB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C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7" t="s">
        <v>5</v>
      </c>
      <c r="B6" s="8" t="str">
        <f aca="false">IF(B5="A","Mode A — Maximum wealth via deflation",IF(B5="B","Mode B — Stable prices",IF(B5="C","Mode C — Monthly dividend",IF(B5="custom","Custom (manual values below)","⚠ Type A, B, C, or custom"))))</f>
        <v>Mode B — Stable prices</v>
      </c>
      <c r="C6" s="8"/>
      <c r="D6" s="8"/>
    </row>
    <row r="7" customFormat="false" ht="15" hidden="false" customHeight="true" outlineLevel="0" collapsed="false">
      <c r="A7" s="9" t="s">
        <v>6</v>
      </c>
      <c r="B7" s="9" t="s">
        <v>7</v>
      </c>
      <c r="C7" s="9" t="s">
        <v>8</v>
      </c>
      <c r="D7" s="9" t="s">
        <v>9</v>
      </c>
    </row>
    <row r="8" customFormat="false" ht="15" hidden="false" customHeight="true" outlineLevel="0" collapsed="false">
      <c r="A8" s="10" t="s">
        <v>10</v>
      </c>
    </row>
    <row r="9" customFormat="false" ht="15" hidden="false" customHeight="true" outlineLevel="0" collapsed="false">
      <c r="A9" s="5" t="s">
        <v>11</v>
      </c>
      <c r="B9" s="11" t="n">
        <v>0.025</v>
      </c>
      <c r="C9" s="7" t="s">
        <v>12</v>
      </c>
      <c r="D9" s="7" t="s">
        <v>13</v>
      </c>
    </row>
    <row r="10" customFormat="false" ht="15" hidden="false" customHeight="true" outlineLevel="0" collapsed="false">
      <c r="A10" s="5" t="s">
        <v>14</v>
      </c>
      <c r="B10" s="12" t="n">
        <f aca="false">IF($B$5="A",0.125,IF($B$5="B",0.84,IF($B$5="C",0.125,0.84)))</f>
        <v>0.84</v>
      </c>
    </row>
    <row r="11" customFormat="false" ht="15" hidden="false" customHeight="true" outlineLevel="0" collapsed="false">
      <c r="A11" s="5" t="s">
        <v>15</v>
      </c>
      <c r="B11" s="13" t="n">
        <f aca="false">IF($B$5="A",0,IF($B$5="B",0,IF($B$5="C",0.04,0)))</f>
        <v>0</v>
      </c>
      <c r="C11" s="7" t="s">
        <v>16</v>
      </c>
      <c r="D11" s="7" t="s">
        <v>17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10" t="s">
        <v>18</v>
      </c>
    </row>
    <row r="14" customFormat="false" ht="15" hidden="false" customHeight="true" outlineLevel="0" collapsed="false">
      <c r="A14" s="5" t="s">
        <v>19</v>
      </c>
      <c r="B14" s="11" t="n">
        <v>0.02</v>
      </c>
      <c r="C14" s="7" t="s">
        <v>20</v>
      </c>
      <c r="D14" s="7" t="s">
        <v>21</v>
      </c>
    </row>
    <row r="15" customFormat="false" ht="15" hidden="false" customHeight="true" outlineLevel="0" collapsed="false">
      <c r="A15" s="5" t="s">
        <v>22</v>
      </c>
      <c r="B15" s="11" t="n">
        <v>0.005</v>
      </c>
      <c r="C15" s="7" t="s">
        <v>20</v>
      </c>
      <c r="D15" s="7" t="s">
        <v>23</v>
      </c>
    </row>
    <row r="16" customFormat="false" ht="15" hidden="false" customHeight="true" outlineLevel="0" collapsed="false">
      <c r="A16" s="5" t="s">
        <v>24</v>
      </c>
      <c r="B16" s="12" t="n">
        <f aca="false">IF($B$5="A",-0.016,IF($B$5="B",0,IF($B$5="C",0.02,0)))</f>
        <v>0</v>
      </c>
    </row>
    <row r="17" customFormat="false" ht="15" hidden="false" customHeight="true" outlineLevel="0" collapsed="false">
      <c r="A17" s="5" t="s">
        <v>25</v>
      </c>
      <c r="B17" s="11" t="n">
        <v>0.065</v>
      </c>
      <c r="C17" s="7" t="s">
        <v>20</v>
      </c>
      <c r="D17" s="7" t="s">
        <v>26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0" t="s">
        <v>27</v>
      </c>
    </row>
    <row r="20" customFormat="false" ht="15" hidden="false" customHeight="true" outlineLevel="0" collapsed="false">
      <c r="A20" s="5" t="s">
        <v>28</v>
      </c>
      <c r="B20" s="14" t="n">
        <v>22700000000000</v>
      </c>
      <c r="C20" s="7" t="s">
        <v>29</v>
      </c>
      <c r="D20" s="7" t="s">
        <v>30</v>
      </c>
    </row>
    <row r="21" customFormat="false" ht="15" hidden="false" customHeight="true" outlineLevel="0" collapsed="false">
      <c r="A21" s="5" t="s">
        <v>31</v>
      </c>
      <c r="B21" s="14" t="n">
        <v>30700000000000</v>
      </c>
      <c r="C21" s="7" t="s">
        <v>29</v>
      </c>
      <c r="D21" s="7" t="s">
        <v>32</v>
      </c>
    </row>
    <row r="22" customFormat="false" ht="15" hidden="false" customHeight="true" outlineLevel="0" collapsed="false">
      <c r="A22" s="5" t="s">
        <v>33</v>
      </c>
      <c r="B22" s="15" t="n">
        <v>342000000</v>
      </c>
      <c r="C22" s="7" t="s">
        <v>34</v>
      </c>
      <c r="D22" s="7" t="s">
        <v>35</v>
      </c>
    </row>
    <row r="23" customFormat="false" ht="15" hidden="false" customHeight="true" outlineLevel="0" collapsed="false">
      <c r="A23" s="5" t="s">
        <v>36</v>
      </c>
      <c r="B23" s="16" t="n">
        <v>65</v>
      </c>
      <c r="C23" s="7" t="s">
        <v>37</v>
      </c>
      <c r="D23" s="7" t="s">
        <v>38</v>
      </c>
    </row>
    <row r="24" customFormat="false" ht="15" hidden="false" customHeight="true" outlineLevel="0" collapsed="false">
      <c r="A24" s="5" t="s">
        <v>39</v>
      </c>
      <c r="B24" s="11" t="n">
        <v>0.04</v>
      </c>
      <c r="C24" s="7" t="s">
        <v>40</v>
      </c>
      <c r="D24" s="7" t="s">
        <v>41</v>
      </c>
    </row>
  </sheetData>
  <mergeCells count="4">
    <mergeCell ref="A1:D1"/>
    <mergeCell ref="A2:D2"/>
    <mergeCell ref="A4:D4"/>
    <mergeCell ref="B6:D6"/>
  </mergeCells>
  <dataValidations count="1">
    <dataValidation allowBlank="false" error="Please select A, B, C, or custom" errorStyle="stop" errorTitle="Invalid Mode" operator="between" showDropDown="false" showErrorMessage="false" showInputMessage="false" sqref="B5" type="list">
      <formula1>"A,B,C,custom"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9" min="7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3" min="12" style="1" width="20"/>
    <col collapsed="false" customWidth="true" hidden="false" outlineLevel="0" max="14" min="14" style="1" width="22"/>
  </cols>
  <sheetData>
    <row r="1" customFormat="false" ht="19.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17" t="s">
        <v>43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customFormat="false" ht="15" hidden="false" customHeight="true" outlineLevel="0" collapsed="false">
      <c r="A4" s="9" t="s">
        <v>44</v>
      </c>
      <c r="B4" s="9" t="s">
        <v>45</v>
      </c>
      <c r="C4" s="9" t="s">
        <v>46</v>
      </c>
      <c r="D4" s="9" t="s">
        <v>33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</row>
    <row r="5" customFormat="false" ht="15" hidden="false" customHeight="true" outlineLevel="0" collapsed="false">
      <c r="A5" s="18" t="n">
        <v>0</v>
      </c>
      <c r="B5" s="19" t="n">
        <f aca="false">Inputs!B20</f>
        <v>22700000000000</v>
      </c>
      <c r="C5" s="19" t="n">
        <f aca="false">Inputs!B21</f>
        <v>30700000000000</v>
      </c>
      <c r="D5" s="20" t="n">
        <f aca="false">Inputs!B22</f>
        <v>342000000</v>
      </c>
      <c r="E5" s="21" t="n">
        <v>1</v>
      </c>
      <c r="F5" s="22" t="n">
        <f aca="false">MAX(0,D5*Inputs!B15)</f>
        <v>1710000</v>
      </c>
      <c r="G5" s="23" t="n">
        <f aca="false">Inputs!B9*(C5/D5)*F5</f>
        <v>3837500000</v>
      </c>
      <c r="H5" s="23" t="n">
        <f aca="false">Inputs!B10*C5*Inputs!B14</f>
        <v>515760000000</v>
      </c>
      <c r="I5" s="23" t="n">
        <f aca="false">Inputs!B11*B5</f>
        <v>0</v>
      </c>
      <c r="J5" s="23" t="n">
        <f aca="false">IF(D5&gt;0,H5/D5,0)</f>
        <v>1508.0701754386</v>
      </c>
      <c r="K5" s="24" t="n">
        <f aca="false">IF(D5&gt;0,I5/D5/12,0)</f>
        <v>0</v>
      </c>
      <c r="L5" s="23" t="n">
        <f aca="false">((G5/MAX(F5,1))+J5)*(1+Inputs!B17)</f>
        <v>3996.11666666667</v>
      </c>
      <c r="M5" s="23" t="n">
        <f aca="false">L5/E5</f>
        <v>3996.11666666667</v>
      </c>
      <c r="N5" s="23" t="n">
        <f aca="false">K5*12/E5</f>
        <v>0</v>
      </c>
    </row>
    <row r="6" customFormat="false" ht="15" hidden="false" customHeight="true" outlineLevel="0" collapsed="false">
      <c r="A6" s="18" t="n">
        <v>1</v>
      </c>
      <c r="B6" s="23" t="n">
        <f aca="false">B5+G5+H5+I5</f>
        <v>23219597500000</v>
      </c>
      <c r="C6" s="23" t="n">
        <f aca="false">C5*(1+Inputs!B14)*(1+Inputs!B16)</f>
        <v>31314000000000</v>
      </c>
      <c r="D6" s="22" t="n">
        <f aca="false">D5*(1+Inputs!B15)</f>
        <v>343710000</v>
      </c>
      <c r="E6" s="21" t="n">
        <f aca="false">E5*(1+Inputs!B16)</f>
        <v>1</v>
      </c>
      <c r="F6" s="22" t="n">
        <f aca="false">MAX(0,D6*Inputs!B15)</f>
        <v>1718550</v>
      </c>
      <c r="G6" s="23" t="n">
        <f aca="false">Inputs!B9*(C6/D6)*F6</f>
        <v>3914250000</v>
      </c>
      <c r="H6" s="23" t="n">
        <f aca="false">Inputs!B10*C6*Inputs!B14</f>
        <v>526075200000</v>
      </c>
      <c r="I6" s="23" t="n">
        <f aca="false">Inputs!B11*B6</f>
        <v>0</v>
      </c>
      <c r="J6" s="23" t="n">
        <f aca="false">IF(D6&gt;0,H6/D6,0)</f>
        <v>1530.57868551977</v>
      </c>
      <c r="K6" s="24" t="n">
        <f aca="false">IF(D6&gt;0,I6/D6/12,0)</f>
        <v>0</v>
      </c>
      <c r="L6" s="23" t="n">
        <f aca="false">(L5+J6)*(1+Inputs!B17)</f>
        <v>5885.93055007855</v>
      </c>
      <c r="M6" s="23" t="n">
        <f aca="false">L6/E6</f>
        <v>5885.93055007855</v>
      </c>
      <c r="N6" s="23" t="n">
        <f aca="false">N5+K6*12/E6</f>
        <v>0</v>
      </c>
    </row>
    <row r="7" customFormat="false" ht="15" hidden="false" customHeight="true" outlineLevel="0" collapsed="false">
      <c r="A7" s="18" t="n">
        <v>2</v>
      </c>
      <c r="B7" s="23" t="n">
        <f aca="false">B6+G6+H6+I6</f>
        <v>23749586950000</v>
      </c>
      <c r="C7" s="23" t="n">
        <f aca="false">C6*(1+Inputs!B14)*(1+Inputs!B16)</f>
        <v>31940280000000</v>
      </c>
      <c r="D7" s="22" t="n">
        <f aca="false">D6*(1+Inputs!B15)</f>
        <v>345428550</v>
      </c>
      <c r="E7" s="21" t="n">
        <f aca="false">E6*(1+Inputs!B16)</f>
        <v>1</v>
      </c>
      <c r="F7" s="22" t="n">
        <f aca="false">MAX(0,D7*Inputs!B15)</f>
        <v>1727142.75</v>
      </c>
      <c r="G7" s="23" t="n">
        <f aca="false">Inputs!B9*(C7/D7)*F7</f>
        <v>3992535000</v>
      </c>
      <c r="H7" s="23" t="n">
        <f aca="false">Inputs!B10*C7*Inputs!B14</f>
        <v>536596704000</v>
      </c>
      <c r="I7" s="23" t="n">
        <f aca="false">Inputs!B11*B7</f>
        <v>0</v>
      </c>
      <c r="J7" s="23" t="n">
        <f aca="false">IF(D7&gt;0,H7/D7,0)</f>
        <v>1553.4231435126</v>
      </c>
      <c r="K7" s="24" t="n">
        <f aca="false">IF(D7&gt;0,I7/D7/12,0)</f>
        <v>0</v>
      </c>
      <c r="L7" s="23" t="n">
        <f aca="false">(L6+J7)*(1+Inputs!B17)</f>
        <v>7922.91168367458</v>
      </c>
      <c r="M7" s="23" t="n">
        <f aca="false">L7/E7</f>
        <v>7922.91168367458</v>
      </c>
      <c r="N7" s="23" t="n">
        <f aca="false">N6+K7*12/E7</f>
        <v>0</v>
      </c>
    </row>
    <row r="8" customFormat="false" ht="15" hidden="false" customHeight="true" outlineLevel="0" collapsed="false">
      <c r="A8" s="18" t="n">
        <v>3</v>
      </c>
      <c r="B8" s="23" t="n">
        <f aca="false">B7+G7+H7+I7</f>
        <v>24290176189000</v>
      </c>
      <c r="C8" s="23" t="n">
        <f aca="false">C7*(1+Inputs!B14)*(1+Inputs!B16)</f>
        <v>32579085600000</v>
      </c>
      <c r="D8" s="22" t="n">
        <f aca="false">D7*(1+Inputs!B15)</f>
        <v>347155692.75</v>
      </c>
      <c r="E8" s="21" t="n">
        <f aca="false">E7*(1+Inputs!B16)</f>
        <v>1</v>
      </c>
      <c r="F8" s="22" t="n">
        <f aca="false">MAX(0,D8*Inputs!B15)</f>
        <v>1735778.46375</v>
      </c>
      <c r="G8" s="23" t="n">
        <f aca="false">Inputs!B9*(C8/D8)*F8</f>
        <v>4072385700</v>
      </c>
      <c r="H8" s="23" t="n">
        <f aca="false">Inputs!B10*C8*Inputs!B14</f>
        <v>547328638080</v>
      </c>
      <c r="I8" s="23" t="n">
        <f aca="false">Inputs!B11*B8</f>
        <v>0</v>
      </c>
      <c r="J8" s="23" t="n">
        <f aca="false">IF(D8&gt;0,H8/D8,0)</f>
        <v>1576.60856356503</v>
      </c>
      <c r="K8" s="24" t="n">
        <f aca="false">IF(D8&gt;0,I8/D8/12,0)</f>
        <v>0</v>
      </c>
      <c r="L8" s="23" t="n">
        <f aca="false">(L7+J8)*(1+Inputs!B17)</f>
        <v>10116.9890633102</v>
      </c>
      <c r="M8" s="23" t="n">
        <f aca="false">L8/E8</f>
        <v>10116.9890633102</v>
      </c>
      <c r="N8" s="23" t="n">
        <f aca="false">N7+K8*12/E8</f>
        <v>0</v>
      </c>
    </row>
    <row r="9" customFormat="false" ht="15" hidden="false" customHeight="true" outlineLevel="0" collapsed="false">
      <c r="A9" s="18" t="n">
        <v>4</v>
      </c>
      <c r="B9" s="23" t="n">
        <f aca="false">B8+G8+H8+I8</f>
        <v>24841577212780</v>
      </c>
      <c r="C9" s="23" t="n">
        <f aca="false">C8*(1+Inputs!B14)*(1+Inputs!B16)</f>
        <v>33230667312000</v>
      </c>
      <c r="D9" s="22" t="n">
        <f aca="false">D8*(1+Inputs!B15)</f>
        <v>348891471.21375</v>
      </c>
      <c r="E9" s="21" t="n">
        <f aca="false">E8*(1+Inputs!B16)</f>
        <v>1</v>
      </c>
      <c r="F9" s="22" t="n">
        <f aca="false">MAX(0,D9*Inputs!B15)</f>
        <v>1744457.35606875</v>
      </c>
      <c r="G9" s="23" t="n">
        <f aca="false">Inputs!B9*(C9/D9)*F9</f>
        <v>4153833414</v>
      </c>
      <c r="H9" s="23" t="n">
        <f aca="false">Inputs!B10*C9*Inputs!B14</f>
        <v>558275210841.6</v>
      </c>
      <c r="I9" s="23" t="n">
        <f aca="false">Inputs!B11*B9</f>
        <v>0</v>
      </c>
      <c r="J9" s="23" t="n">
        <f aca="false">IF(D9&gt;0,H9/D9,0)</f>
        <v>1600.14003466302</v>
      </c>
      <c r="K9" s="24" t="n">
        <f aca="false">IF(D9&gt;0,I9/D9/12,0)</f>
        <v>0</v>
      </c>
      <c r="L9" s="23" t="n">
        <f aca="false">(L8+J9)*(1+Inputs!B17)</f>
        <v>12478.7424893415</v>
      </c>
      <c r="M9" s="23" t="n">
        <f aca="false">L9/E9</f>
        <v>12478.7424893415</v>
      </c>
      <c r="N9" s="23" t="n">
        <f aca="false">N8+K9*12/E9</f>
        <v>0</v>
      </c>
    </row>
    <row r="10" customFormat="false" ht="15" hidden="false" customHeight="true" outlineLevel="0" collapsed="false">
      <c r="A10" s="18" t="n">
        <v>5</v>
      </c>
      <c r="B10" s="23" t="n">
        <f aca="false">B9+G9+H9+I9</f>
        <v>25404006257035.6</v>
      </c>
      <c r="C10" s="23" t="n">
        <f aca="false">C9*(1+Inputs!B14)*(1+Inputs!B16)</f>
        <v>33895280658240</v>
      </c>
      <c r="D10" s="22" t="n">
        <f aca="false">D9*(1+Inputs!B15)</f>
        <v>350635928.569819</v>
      </c>
      <c r="E10" s="21" t="n">
        <f aca="false">E9*(1+Inputs!B16)</f>
        <v>1</v>
      </c>
      <c r="F10" s="22" t="n">
        <f aca="false">MAX(0,D10*Inputs!B15)</f>
        <v>1753179.64284909</v>
      </c>
      <c r="G10" s="23" t="n">
        <f aca="false">Inputs!B9*(C10/D10)*F10</f>
        <v>4236910082.28</v>
      </c>
      <c r="H10" s="23" t="n">
        <f aca="false">Inputs!B10*C10*Inputs!B14</f>
        <v>569440715058.432</v>
      </c>
      <c r="I10" s="23" t="n">
        <f aca="false">Inputs!B11*B10</f>
        <v>0</v>
      </c>
      <c r="J10" s="23" t="n">
        <f aca="false">IF(D10&gt;0,H10/D10,0)</f>
        <v>1624.02272174754</v>
      </c>
      <c r="K10" s="24" t="n">
        <f aca="false">IF(D10&gt;0,I10/D10/12,0)</f>
        <v>0</v>
      </c>
      <c r="L10" s="23" t="n">
        <f aca="false">(L9+J10)*(1+Inputs!B17)</f>
        <v>15019.4449498098</v>
      </c>
      <c r="M10" s="23" t="n">
        <f aca="false">L10/E10</f>
        <v>15019.4449498098</v>
      </c>
      <c r="N10" s="23" t="n">
        <f aca="false">N9+K10*12/E10</f>
        <v>0</v>
      </c>
    </row>
    <row r="11" customFormat="false" ht="15" hidden="false" customHeight="true" outlineLevel="0" collapsed="false">
      <c r="A11" s="18" t="n">
        <v>6</v>
      </c>
      <c r="B11" s="23" t="n">
        <f aca="false">B10+G10+H10+I10</f>
        <v>25977683882176.3</v>
      </c>
      <c r="C11" s="23" t="n">
        <f aca="false">C10*(1+Inputs!B14)*(1+Inputs!B16)</f>
        <v>34573186271404.8</v>
      </c>
      <c r="D11" s="22" t="n">
        <f aca="false">D10*(1+Inputs!B15)</f>
        <v>352389108.212668</v>
      </c>
      <c r="E11" s="21" t="n">
        <f aca="false">E10*(1+Inputs!B16)</f>
        <v>1</v>
      </c>
      <c r="F11" s="22" t="n">
        <f aca="false">MAX(0,D11*Inputs!B15)</f>
        <v>1761945.54106334</v>
      </c>
      <c r="G11" s="23" t="n">
        <f aca="false">Inputs!B9*(C11/D11)*F11</f>
        <v>4321648283.9256</v>
      </c>
      <c r="H11" s="23" t="n">
        <f aca="false">Inputs!B10*C11*Inputs!B14</f>
        <v>580829529359.601</v>
      </c>
      <c r="I11" s="23" t="n">
        <f aca="false">Inputs!B11*B11</f>
        <v>0</v>
      </c>
      <c r="J11" s="23" t="n">
        <f aca="false">IF(D11&gt;0,H11/D11,0)</f>
        <v>1648.26186684825</v>
      </c>
      <c r="K11" s="24" t="n">
        <f aca="false">IF(D11&gt;0,I11/D11/12,0)</f>
        <v>0</v>
      </c>
      <c r="L11" s="23" t="n">
        <f aca="false">(L10+J11)*(1+Inputs!B17)</f>
        <v>17751.1077597408</v>
      </c>
      <c r="M11" s="23" t="n">
        <f aca="false">L11/E11</f>
        <v>17751.1077597408</v>
      </c>
      <c r="N11" s="23" t="n">
        <f aca="false">N10+K11*12/E11</f>
        <v>0</v>
      </c>
    </row>
    <row r="12" customFormat="false" ht="15" hidden="false" customHeight="true" outlineLevel="0" collapsed="false">
      <c r="A12" s="18" t="n">
        <v>7</v>
      </c>
      <c r="B12" s="23" t="n">
        <f aca="false">B11+G11+H11+I11</f>
        <v>26562835059819.8</v>
      </c>
      <c r="C12" s="23" t="n">
        <f aca="false">C11*(1+Inputs!B14)*(1+Inputs!B16)</f>
        <v>35264649996832.9</v>
      </c>
      <c r="D12" s="22" t="n">
        <f aca="false">D11*(1+Inputs!B15)</f>
        <v>354151053.753731</v>
      </c>
      <c r="E12" s="21" t="n">
        <f aca="false">E11*(1+Inputs!B16)</f>
        <v>1</v>
      </c>
      <c r="F12" s="22" t="n">
        <f aca="false">MAX(0,D12*Inputs!B15)</f>
        <v>1770755.26876865</v>
      </c>
      <c r="G12" s="23" t="n">
        <f aca="false">Inputs!B9*(C12/D12)*F12</f>
        <v>4408081249.60411</v>
      </c>
      <c r="H12" s="23" t="n">
        <f aca="false">Inputs!B10*C12*Inputs!B14</f>
        <v>592446119946.793</v>
      </c>
      <c r="I12" s="23" t="n">
        <f aca="false">Inputs!B11*B12</f>
        <v>0</v>
      </c>
      <c r="J12" s="23" t="n">
        <f aca="false">IF(D12&gt;0,H12/D12,0)</f>
        <v>1672.86279023404</v>
      </c>
      <c r="K12" s="24" t="n">
        <f aca="false">IF(D12&gt;0,I12/D12/12,0)</f>
        <v>0</v>
      </c>
      <c r="L12" s="23" t="n">
        <f aca="false">(L11+J12)*(1+Inputs!B17)</f>
        <v>20686.5286357232</v>
      </c>
      <c r="M12" s="23" t="n">
        <f aca="false">L12/E12</f>
        <v>20686.5286357232</v>
      </c>
      <c r="N12" s="23" t="n">
        <f aca="false">N11+K12*12/E12</f>
        <v>0</v>
      </c>
    </row>
    <row r="13" customFormat="false" ht="15" hidden="false" customHeight="true" outlineLevel="0" collapsed="false">
      <c r="A13" s="18" t="n">
        <v>8</v>
      </c>
      <c r="B13" s="23" t="n">
        <f aca="false">B12+G12+H12+I12</f>
        <v>27159689261016.2</v>
      </c>
      <c r="C13" s="23" t="n">
        <f aca="false">C12*(1+Inputs!B14)*(1+Inputs!B16)</f>
        <v>35969942996769.6</v>
      </c>
      <c r="D13" s="22" t="n">
        <f aca="false">D12*(1+Inputs!B15)</f>
        <v>355921809.022499</v>
      </c>
      <c r="E13" s="21" t="n">
        <f aca="false">E12*(1+Inputs!B16)</f>
        <v>1</v>
      </c>
      <c r="F13" s="22" t="n">
        <f aca="false">MAX(0,D13*Inputs!B15)</f>
        <v>1779609.0451125</v>
      </c>
      <c r="G13" s="23" t="n">
        <f aca="false">Inputs!B9*(C13/D13)*F13</f>
        <v>4496242874.59619</v>
      </c>
      <c r="H13" s="23" t="n">
        <f aca="false">Inputs!B10*C13*Inputs!B14</f>
        <v>604295042345.729</v>
      </c>
      <c r="I13" s="23" t="n">
        <f aca="false">Inputs!B11*B13</f>
        <v>0</v>
      </c>
      <c r="J13" s="23" t="n">
        <f aca="false">IF(D13&gt;0,H13/D13,0)</f>
        <v>1697.83089158082</v>
      </c>
      <c r="K13" s="24" t="n">
        <f aca="false">IF(D13&gt;0,I13/D13/12,0)</f>
        <v>0</v>
      </c>
      <c r="L13" s="23" t="n">
        <f aca="false">(L12+J13)*(1+Inputs!B17)</f>
        <v>23839.3428965788</v>
      </c>
      <c r="M13" s="23" t="n">
        <f aca="false">L13/E13</f>
        <v>23839.3428965788</v>
      </c>
      <c r="N13" s="23" t="n">
        <f aca="false">N12+K13*12/E13</f>
        <v>0</v>
      </c>
    </row>
    <row r="14" customFormat="false" ht="15" hidden="false" customHeight="true" outlineLevel="0" collapsed="false">
      <c r="A14" s="18" t="n">
        <v>9</v>
      </c>
      <c r="B14" s="23" t="n">
        <f aca="false">B13+G13+H13+I13</f>
        <v>27768480546236.6</v>
      </c>
      <c r="C14" s="23" t="n">
        <f aca="false">C13*(1+Inputs!B14)*(1+Inputs!B16)</f>
        <v>36689341856704.9</v>
      </c>
      <c r="D14" s="22" t="n">
        <f aca="false">D13*(1+Inputs!B15)</f>
        <v>357701418.067612</v>
      </c>
      <c r="E14" s="21" t="n">
        <f aca="false">E13*(1+Inputs!B16)</f>
        <v>1</v>
      </c>
      <c r="F14" s="22" t="n">
        <f aca="false">MAX(0,D14*Inputs!B15)</f>
        <v>1788507.09033806</v>
      </c>
      <c r="G14" s="23" t="n">
        <f aca="false">Inputs!B9*(C14/D14)*F14</f>
        <v>4586167732.08812</v>
      </c>
      <c r="H14" s="23" t="n">
        <f aca="false">Inputs!B10*C14*Inputs!B14</f>
        <v>616380943192.643</v>
      </c>
      <c r="I14" s="23" t="n">
        <f aca="false">Inputs!B11*B14</f>
        <v>0</v>
      </c>
      <c r="J14" s="23" t="n">
        <f aca="false">IF(D14&gt;0,H14/D14,0)</f>
        <v>1723.17165115665</v>
      </c>
      <c r="K14" s="24" t="n">
        <f aca="false">IF(D14&gt;0,I14/D14/12,0)</f>
        <v>0</v>
      </c>
      <c r="L14" s="23" t="n">
        <f aca="false">(L13+J14)*(1+Inputs!B17)</f>
        <v>27224.0779933382</v>
      </c>
      <c r="M14" s="23" t="n">
        <f aca="false">L14/E14</f>
        <v>27224.0779933382</v>
      </c>
      <c r="N14" s="23" t="n">
        <f aca="false">N13+K14*12/E14</f>
        <v>0</v>
      </c>
    </row>
    <row r="15" customFormat="false" ht="15" hidden="false" customHeight="true" outlineLevel="0" collapsed="false">
      <c r="A15" s="18" t="n">
        <v>10</v>
      </c>
      <c r="B15" s="23" t="n">
        <f aca="false">B14+G14+H14+I14</f>
        <v>28389447657161.3</v>
      </c>
      <c r="C15" s="23" t="n">
        <f aca="false">C14*(1+Inputs!B14)*(1+Inputs!B16)</f>
        <v>37423128693839.1</v>
      </c>
      <c r="D15" s="22" t="n">
        <f aca="false">D14*(1+Inputs!B15)</f>
        <v>359489925.15795</v>
      </c>
      <c r="E15" s="21" t="n">
        <f aca="false">E14*(1+Inputs!B16)</f>
        <v>1</v>
      </c>
      <c r="F15" s="22" t="n">
        <f aca="false">MAX(0,D15*Inputs!B15)</f>
        <v>1797449.62578975</v>
      </c>
      <c r="G15" s="23" t="n">
        <f aca="false">Inputs!B9*(C15/D15)*F15</f>
        <v>4677891086.72988</v>
      </c>
      <c r="H15" s="23" t="n">
        <f aca="false">Inputs!B10*C15*Inputs!B14</f>
        <v>628708562056.496</v>
      </c>
      <c r="I15" s="23" t="n">
        <f aca="false">Inputs!B11*B15</f>
        <v>0</v>
      </c>
      <c r="J15" s="23" t="n">
        <f aca="false">IF(D15&gt;0,H15/D15,0)</f>
        <v>1748.89063102466</v>
      </c>
      <c r="K15" s="24" t="n">
        <f aca="false">IF(D15&gt;0,I15/D15/12,0)</f>
        <v>0</v>
      </c>
      <c r="L15" s="23" t="n">
        <f aca="false">(L14+J15)*(1+Inputs!B17)</f>
        <v>30856.2115849465</v>
      </c>
      <c r="M15" s="23" t="n">
        <f aca="false">L15/E15</f>
        <v>30856.2115849465</v>
      </c>
      <c r="N15" s="23" t="n">
        <f aca="false">N14+K15*12/E15</f>
        <v>0</v>
      </c>
    </row>
    <row r="16" customFormat="false" ht="15" hidden="false" customHeight="true" outlineLevel="0" collapsed="false">
      <c r="A16" s="18" t="n">
        <v>11</v>
      </c>
      <c r="B16" s="23" t="n">
        <f aca="false">B15+G15+H15+I15</f>
        <v>29022834110304.5</v>
      </c>
      <c r="C16" s="23" t="n">
        <f aca="false">C15*(1+Inputs!B14)*(1+Inputs!B16)</f>
        <v>38171591267715.8</v>
      </c>
      <c r="D16" s="22" t="n">
        <f aca="false">D15*(1+Inputs!B15)</f>
        <v>361287374.78374</v>
      </c>
      <c r="E16" s="21" t="n">
        <f aca="false">E15*(1+Inputs!B16)</f>
        <v>1</v>
      </c>
      <c r="F16" s="22" t="n">
        <f aca="false">MAX(0,D16*Inputs!B15)</f>
        <v>1806436.8739187</v>
      </c>
      <c r="G16" s="23" t="n">
        <f aca="false">Inputs!B9*(C16/D16)*F16</f>
        <v>4771448908.46448</v>
      </c>
      <c r="H16" s="23" t="n">
        <f aca="false">Inputs!B10*C16*Inputs!B14</f>
        <v>641282733297.626</v>
      </c>
      <c r="I16" s="23" t="n">
        <f aca="false">Inputs!B11*B16</f>
        <v>0</v>
      </c>
      <c r="J16" s="23" t="n">
        <f aca="false">IF(D16&gt;0,H16/D16,0)</f>
        <v>1774.99347626384</v>
      </c>
      <c r="K16" s="24" t="n">
        <f aca="false">IF(D16&gt;0,I16/D16/12,0)</f>
        <v>0</v>
      </c>
      <c r="L16" s="23" t="n">
        <f aca="false">(L15+J16)*(1+Inputs!B17)</f>
        <v>34752.233390189</v>
      </c>
      <c r="M16" s="23" t="n">
        <f aca="false">L16/E16</f>
        <v>34752.233390189</v>
      </c>
      <c r="N16" s="23" t="n">
        <f aca="false">N15+K16*12/E16</f>
        <v>0</v>
      </c>
    </row>
    <row r="17" customFormat="false" ht="15" hidden="false" customHeight="true" outlineLevel="0" collapsed="false">
      <c r="A17" s="18" t="n">
        <v>12</v>
      </c>
      <c r="B17" s="23" t="n">
        <f aca="false">B16+G16+H16+I16</f>
        <v>29668888292510.6</v>
      </c>
      <c r="C17" s="23" t="n">
        <f aca="false">C16*(1+Inputs!B14)*(1+Inputs!B16)</f>
        <v>38935023093070.2</v>
      </c>
      <c r="D17" s="22" t="n">
        <f aca="false">D16*(1+Inputs!B15)</f>
        <v>363093811.657658</v>
      </c>
      <c r="E17" s="21" t="n">
        <f aca="false">E16*(1+Inputs!B16)</f>
        <v>1</v>
      </c>
      <c r="F17" s="22" t="n">
        <f aca="false">MAX(0,D17*Inputs!B15)</f>
        <v>1815469.05828829</v>
      </c>
      <c r="G17" s="23" t="n">
        <f aca="false">Inputs!B9*(C17/D17)*F17</f>
        <v>4866877886.63377</v>
      </c>
      <c r="H17" s="23" t="n">
        <f aca="false">Inputs!B10*C17*Inputs!B14</f>
        <v>654108387963.579</v>
      </c>
      <c r="I17" s="23" t="n">
        <f aca="false">Inputs!B11*B17</f>
        <v>0</v>
      </c>
      <c r="J17" s="23" t="n">
        <f aca="false">IF(D17&gt;0,H17/D17,0)</f>
        <v>1801.48591620807</v>
      </c>
      <c r="K17" s="24" t="n">
        <f aca="false">IF(D17&gt;0,I17/D17/12,0)</f>
        <v>0</v>
      </c>
      <c r="L17" s="23" t="n">
        <f aca="false">(L16+J17)*(1+Inputs!B17)</f>
        <v>38929.7110613129</v>
      </c>
      <c r="M17" s="23" t="n">
        <f aca="false">L17/E17</f>
        <v>38929.7110613129</v>
      </c>
      <c r="N17" s="23" t="n">
        <f aca="false">N16+K17*12/E17</f>
        <v>0</v>
      </c>
    </row>
    <row r="18" customFormat="false" ht="15" hidden="false" customHeight="true" outlineLevel="0" collapsed="false">
      <c r="A18" s="18" t="n">
        <v>13</v>
      </c>
      <c r="B18" s="23" t="n">
        <f aca="false">B17+G17+H17+I17</f>
        <v>30327863558360.8</v>
      </c>
      <c r="C18" s="23" t="n">
        <f aca="false">C17*(1+Inputs!B14)*(1+Inputs!B16)</f>
        <v>39713723554931.6</v>
      </c>
      <c r="D18" s="22" t="n">
        <f aca="false">D17*(1+Inputs!B15)</f>
        <v>364909280.715947</v>
      </c>
      <c r="E18" s="21" t="n">
        <f aca="false">E17*(1+Inputs!B16)</f>
        <v>1</v>
      </c>
      <c r="F18" s="22" t="n">
        <f aca="false">MAX(0,D18*Inputs!B15)</f>
        <v>1824546.40357973</v>
      </c>
      <c r="G18" s="23" t="n">
        <f aca="false">Inputs!B9*(C18/D18)*F18</f>
        <v>4964215444.36645</v>
      </c>
      <c r="H18" s="23" t="n">
        <f aca="false">Inputs!B10*C18*Inputs!B14</f>
        <v>667190555722.85</v>
      </c>
      <c r="I18" s="23" t="n">
        <f aca="false">Inputs!B11*B18</f>
        <v>0</v>
      </c>
      <c r="J18" s="23" t="n">
        <f aca="false">IF(D18&gt;0,H18/D18,0)</f>
        <v>1828.37376570372</v>
      </c>
      <c r="K18" s="24" t="n">
        <f aca="false">IF(D18&gt;0,I18/D18/12,0)</f>
        <v>0</v>
      </c>
      <c r="L18" s="23" t="n">
        <f aca="false">(L17+J18)*(1+Inputs!B17)</f>
        <v>43407.3603407727</v>
      </c>
      <c r="M18" s="23" t="n">
        <f aca="false">L18/E18</f>
        <v>43407.3603407727</v>
      </c>
      <c r="N18" s="23" t="n">
        <f aca="false">N17+K18*12/E18</f>
        <v>0</v>
      </c>
    </row>
    <row r="19" customFormat="false" ht="15" hidden="false" customHeight="true" outlineLevel="0" collapsed="false">
      <c r="A19" s="18" t="n">
        <v>14</v>
      </c>
      <c r="B19" s="23" t="n">
        <f aca="false">B18+G18+H18+I18</f>
        <v>31000018329528.1</v>
      </c>
      <c r="C19" s="23" t="n">
        <f aca="false">C18*(1+Inputs!B14)*(1+Inputs!B16)</f>
        <v>40507998026030.2</v>
      </c>
      <c r="D19" s="22" t="n">
        <f aca="false">D18*(1+Inputs!B15)</f>
        <v>366733827.119526</v>
      </c>
      <c r="E19" s="21" t="n">
        <f aca="false">E18*(1+Inputs!B16)</f>
        <v>1</v>
      </c>
      <c r="F19" s="22" t="n">
        <f aca="false">MAX(0,D19*Inputs!B15)</f>
        <v>1833669.13559763</v>
      </c>
      <c r="G19" s="23" t="n">
        <f aca="false">Inputs!B9*(C19/D19)*F19</f>
        <v>5063499753.25377</v>
      </c>
      <c r="H19" s="23" t="n">
        <f aca="false">Inputs!B10*C19*Inputs!B14</f>
        <v>680534366837.307</v>
      </c>
      <c r="I19" s="23" t="n">
        <f aca="false">Inputs!B11*B19</f>
        <v>0</v>
      </c>
      <c r="J19" s="23" t="n">
        <f aca="false">IF(D19&gt;0,H19/D19,0)</f>
        <v>1855.66292638586</v>
      </c>
      <c r="K19" s="24" t="n">
        <f aca="false">IF(D19&gt;0,I19/D19/12,0)</f>
        <v>0</v>
      </c>
      <c r="L19" s="23" t="n">
        <f aca="false">(L18+J19)*(1+Inputs!B17)</f>
        <v>48205.1197795238</v>
      </c>
      <c r="M19" s="23" t="n">
        <f aca="false">L19/E19</f>
        <v>48205.1197795238</v>
      </c>
      <c r="N19" s="23" t="n">
        <f aca="false">N18+K19*12/E19</f>
        <v>0</v>
      </c>
    </row>
    <row r="20" customFormat="false" ht="15" hidden="false" customHeight="true" outlineLevel="0" collapsed="false">
      <c r="A20" s="18" t="n">
        <v>15</v>
      </c>
      <c r="B20" s="23" t="n">
        <f aca="false">B19+G19+H19+I19</f>
        <v>31685616196118.6</v>
      </c>
      <c r="C20" s="23" t="n">
        <f aca="false">C19*(1+Inputs!B14)*(1+Inputs!B16)</f>
        <v>41318157986550.8</v>
      </c>
      <c r="D20" s="22" t="n">
        <f aca="false">D19*(1+Inputs!B15)</f>
        <v>368567496.255124</v>
      </c>
      <c r="E20" s="21" t="n">
        <f aca="false">E19*(1+Inputs!B16)</f>
        <v>1</v>
      </c>
      <c r="F20" s="22" t="n">
        <f aca="false">MAX(0,D20*Inputs!B15)</f>
        <v>1842837.48127562</v>
      </c>
      <c r="G20" s="23" t="n">
        <f aca="false">Inputs!B9*(C20/D20)*F20</f>
        <v>5164769748.31885</v>
      </c>
      <c r="H20" s="23" t="n">
        <f aca="false">Inputs!B10*C20*Inputs!B14</f>
        <v>694145054174.053</v>
      </c>
      <c r="I20" s="23" t="n">
        <f aca="false">Inputs!B11*B20</f>
        <v>0</v>
      </c>
      <c r="J20" s="23" t="n">
        <f aca="false">IF(D20&gt;0,H20/D20,0)</f>
        <v>1883.35938797371</v>
      </c>
      <c r="K20" s="24" t="n">
        <f aca="false">IF(D20&gt;0,I20/D20/12,0)</f>
        <v>0</v>
      </c>
      <c r="L20" s="23" t="n">
        <f aca="false">(L19+J20)*(1+Inputs!B17)</f>
        <v>53344.2303133849</v>
      </c>
      <c r="M20" s="23" t="n">
        <f aca="false">L20/E20</f>
        <v>53344.2303133849</v>
      </c>
      <c r="N20" s="23" t="n">
        <f aca="false">N19+K20*12/E20</f>
        <v>0</v>
      </c>
    </row>
    <row r="21" customFormat="false" ht="15" hidden="false" customHeight="true" outlineLevel="0" collapsed="false">
      <c r="A21" s="18" t="n">
        <v>16</v>
      </c>
      <c r="B21" s="23" t="n">
        <f aca="false">B20+G20+H20+I20</f>
        <v>32384926020041</v>
      </c>
      <c r="C21" s="23" t="n">
        <f aca="false">C20*(1+Inputs!B14)*(1+Inputs!B16)</f>
        <v>42144521146281.8</v>
      </c>
      <c r="D21" s="22" t="n">
        <f aca="false">D20*(1+Inputs!B15)</f>
        <v>370410333.736399</v>
      </c>
      <c r="E21" s="21" t="n">
        <f aca="false">E20*(1+Inputs!B16)</f>
        <v>1</v>
      </c>
      <c r="F21" s="22" t="n">
        <f aca="false">MAX(0,D21*Inputs!B15)</f>
        <v>1852051.668682</v>
      </c>
      <c r="G21" s="23" t="n">
        <f aca="false">Inputs!B9*(C21/D21)*F21</f>
        <v>5268065143.28523</v>
      </c>
      <c r="H21" s="23" t="n">
        <f aca="false">Inputs!B10*C21*Inputs!B14</f>
        <v>708027955257.534</v>
      </c>
      <c r="I21" s="23" t="n">
        <f aca="false">Inputs!B11*B21</f>
        <v>0</v>
      </c>
      <c r="J21" s="23" t="n">
        <f aca="false">IF(D21&gt;0,H21/D21,0)</f>
        <v>1911.46922958526</v>
      </c>
      <c r="K21" s="24" t="n">
        <f aca="false">IF(D21&gt;0,I21/D21/12,0)</f>
        <v>0</v>
      </c>
      <c r="L21" s="23" t="n">
        <f aca="false">(L20+J21)*(1+Inputs!B17)</f>
        <v>58847.3200132632</v>
      </c>
      <c r="M21" s="23" t="n">
        <f aca="false">L21/E21</f>
        <v>58847.3200132632</v>
      </c>
      <c r="N21" s="23" t="n">
        <f aca="false">N20+K21*12/E21</f>
        <v>0</v>
      </c>
    </row>
    <row r="22" customFormat="false" ht="15" hidden="false" customHeight="true" outlineLevel="0" collapsed="false">
      <c r="A22" s="18" t="n">
        <v>17</v>
      </c>
      <c r="B22" s="23" t="n">
        <f aca="false">B21+G21+H21+I21</f>
        <v>33098222040441.8</v>
      </c>
      <c r="C22" s="23" t="n">
        <f aca="false">C21*(1+Inputs!B14)*(1+Inputs!B16)</f>
        <v>42987411569207.4</v>
      </c>
      <c r="D22" s="22" t="n">
        <f aca="false">D21*(1+Inputs!B15)</f>
        <v>372262385.405081</v>
      </c>
      <c r="E22" s="21" t="n">
        <f aca="false">E21*(1+Inputs!B16)</f>
        <v>1</v>
      </c>
      <c r="F22" s="22" t="n">
        <f aca="false">MAX(0,D22*Inputs!B15)</f>
        <v>1861311.92702541</v>
      </c>
      <c r="G22" s="23" t="n">
        <f aca="false">Inputs!B9*(C22/D22)*F22</f>
        <v>5373426446.15093</v>
      </c>
      <c r="H22" s="23" t="n">
        <f aca="false">Inputs!B10*C22*Inputs!B14</f>
        <v>722188514362.685</v>
      </c>
      <c r="I22" s="23" t="n">
        <f aca="false">Inputs!B11*B22</f>
        <v>0</v>
      </c>
      <c r="J22" s="23" t="n">
        <f aca="false">IF(D22&gt;0,H22/D22,0)</f>
        <v>1939.99862107161</v>
      </c>
      <c r="K22" s="24" t="n">
        <f aca="false">IF(D22&gt;0,I22/D22/12,0)</f>
        <v>0</v>
      </c>
      <c r="L22" s="23" t="n">
        <f aca="false">(L21+J22)*(1+Inputs!B17)</f>
        <v>64738.4943455666</v>
      </c>
      <c r="M22" s="23" t="n">
        <f aca="false">L22/E22</f>
        <v>64738.4943455666</v>
      </c>
      <c r="N22" s="23" t="n">
        <f aca="false">N21+K22*12/E22</f>
        <v>0</v>
      </c>
    </row>
    <row r="23" customFormat="false" ht="15" hidden="false" customHeight="true" outlineLevel="0" collapsed="false">
      <c r="A23" s="18" t="n">
        <v>18</v>
      </c>
      <c r="B23" s="23" t="n">
        <f aca="false">B22+G22+H22+I22</f>
        <v>33825783981250.6</v>
      </c>
      <c r="C23" s="23" t="n">
        <f aca="false">C22*(1+Inputs!B14)*(1+Inputs!B16)</f>
        <v>43847159800591.6</v>
      </c>
      <c r="D23" s="22" t="n">
        <f aca="false">D22*(1+Inputs!B15)</f>
        <v>374123697.332107</v>
      </c>
      <c r="E23" s="21" t="n">
        <f aca="false">E22*(1+Inputs!B16)</f>
        <v>1</v>
      </c>
      <c r="F23" s="22" t="n">
        <f aca="false">MAX(0,D23*Inputs!B15)</f>
        <v>1870618.48666053</v>
      </c>
      <c r="G23" s="23" t="n">
        <f aca="false">Inputs!B9*(C23/D23)*F23</f>
        <v>5480894975.07395</v>
      </c>
      <c r="H23" s="23" t="n">
        <f aca="false">Inputs!B10*C23*Inputs!B14</f>
        <v>736632284649.939</v>
      </c>
      <c r="I23" s="23" t="n">
        <f aca="false">Inputs!B11*B23</f>
        <v>0</v>
      </c>
      <c r="J23" s="23" t="n">
        <f aca="false">IF(D23&gt;0,H23/D23,0)</f>
        <v>1968.95382437118</v>
      </c>
      <c r="K23" s="24" t="n">
        <f aca="false">IF(D23&gt;0,I23/D23/12,0)</f>
        <v>0</v>
      </c>
      <c r="L23" s="23" t="n">
        <f aca="false">(L22+J23)*(1+Inputs!B17)</f>
        <v>71043.4323009837</v>
      </c>
      <c r="M23" s="23" t="n">
        <f aca="false">L23/E23</f>
        <v>71043.4323009837</v>
      </c>
      <c r="N23" s="23" t="n">
        <f aca="false">N22+K23*12/E23</f>
        <v>0</v>
      </c>
    </row>
    <row r="24" customFormat="false" ht="15" hidden="false" customHeight="true" outlineLevel="0" collapsed="false">
      <c r="A24" s="18" t="n">
        <v>19</v>
      </c>
      <c r="B24" s="23" t="n">
        <f aca="false">B23+G23+H23+I23</f>
        <v>34567897160875.7</v>
      </c>
      <c r="C24" s="23" t="n">
        <f aca="false">C23*(1+Inputs!B14)*(1+Inputs!B16)</f>
        <v>44724102996603.4</v>
      </c>
      <c r="D24" s="22" t="n">
        <f aca="false">D23*(1+Inputs!B15)</f>
        <v>375994315.818767</v>
      </c>
      <c r="E24" s="21" t="n">
        <f aca="false">E23*(1+Inputs!B16)</f>
        <v>1</v>
      </c>
      <c r="F24" s="22" t="n">
        <f aca="false">MAX(0,D24*Inputs!B15)</f>
        <v>1879971.57909384</v>
      </c>
      <c r="G24" s="23" t="n">
        <f aca="false">Inputs!B9*(C24/D24)*F24</f>
        <v>5590512874.57543</v>
      </c>
      <c r="H24" s="23" t="n">
        <f aca="false">Inputs!B10*C24*Inputs!B14</f>
        <v>751364930342.938</v>
      </c>
      <c r="I24" s="23" t="n">
        <f aca="false">Inputs!B11*B24</f>
        <v>0</v>
      </c>
      <c r="J24" s="23" t="n">
        <f aca="false">IF(D24&gt;0,H24/D24,0)</f>
        <v>1998.34119488419</v>
      </c>
      <c r="K24" s="24" t="n">
        <f aca="false">IF(D24&gt;0,I24/D24/12,0)</f>
        <v>0</v>
      </c>
      <c r="L24" s="23" t="n">
        <f aca="false">(L23+J24)*(1+Inputs!B17)</f>
        <v>77789.4887730993</v>
      </c>
      <c r="M24" s="23" t="n">
        <f aca="false">L24/E24</f>
        <v>77789.4887730993</v>
      </c>
      <c r="N24" s="23" t="n">
        <f aca="false">N23+K24*12/E24</f>
        <v>0</v>
      </c>
    </row>
    <row r="25" customFormat="false" ht="15" hidden="false" customHeight="true" outlineLevel="0" collapsed="false">
      <c r="A25" s="18" t="n">
        <v>20</v>
      </c>
      <c r="B25" s="23" t="n">
        <f aca="false">B24+G24+H24+I24</f>
        <v>35324852604093.2</v>
      </c>
      <c r="C25" s="23" t="n">
        <f aca="false">C24*(1+Inputs!B14)*(1+Inputs!B16)</f>
        <v>45618585056535.5</v>
      </c>
      <c r="D25" s="22" t="n">
        <f aca="false">D24*(1+Inputs!B15)</f>
        <v>377874287.397861</v>
      </c>
      <c r="E25" s="21" t="n">
        <f aca="false">E24*(1+Inputs!B16)</f>
        <v>1</v>
      </c>
      <c r="F25" s="22" t="n">
        <f aca="false">MAX(0,D25*Inputs!B15)</f>
        <v>1889371.43698931</v>
      </c>
      <c r="G25" s="23" t="n">
        <f aca="false">Inputs!B9*(C25/D25)*F25</f>
        <v>5702323132.06694</v>
      </c>
      <c r="H25" s="23" t="n">
        <f aca="false">Inputs!B10*C25*Inputs!B14</f>
        <v>766392228949.796</v>
      </c>
      <c r="I25" s="23" t="n">
        <f aca="false">Inputs!B11*B25</f>
        <v>0</v>
      </c>
      <c r="J25" s="23" t="n">
        <f aca="false">IF(D25&gt;0,H25/D25,0)</f>
        <v>2028.16718286753</v>
      </c>
      <c r="K25" s="24" t="n">
        <f aca="false">IF(D25&gt;0,I25/D25/12,0)</f>
        <v>0</v>
      </c>
      <c r="L25" s="23" t="n">
        <f aca="false">(L24+J25)*(1+Inputs!B17)</f>
        <v>85005.8035931047</v>
      </c>
      <c r="M25" s="23" t="n">
        <f aca="false">L25/E25</f>
        <v>85005.8035931047</v>
      </c>
      <c r="N25" s="23" t="n">
        <f aca="false">N24+K25*12/E25</f>
        <v>0</v>
      </c>
    </row>
    <row r="26" customFormat="false" ht="15" hidden="false" customHeight="true" outlineLevel="0" collapsed="false">
      <c r="A26" s="18" t="n">
        <v>21</v>
      </c>
      <c r="B26" s="23" t="n">
        <f aca="false">B25+G25+H25+I25</f>
        <v>36096947156175</v>
      </c>
      <c r="C26" s="23" t="n">
        <f aca="false">C25*(1+Inputs!B14)*(1+Inputs!B16)</f>
        <v>46530956757666.2</v>
      </c>
      <c r="D26" s="22" t="n">
        <f aca="false">D25*(1+Inputs!B15)</f>
        <v>379763658.83485</v>
      </c>
      <c r="E26" s="21" t="n">
        <f aca="false">E25*(1+Inputs!B16)</f>
        <v>1</v>
      </c>
      <c r="F26" s="22" t="n">
        <f aca="false">MAX(0,D26*Inputs!B15)</f>
        <v>1898818.29417425</v>
      </c>
      <c r="G26" s="23" t="n">
        <f aca="false">Inputs!B9*(C26/D26)*F26</f>
        <v>5816369594.70828</v>
      </c>
      <c r="H26" s="23" t="n">
        <f aca="false">Inputs!B10*C26*Inputs!B14</f>
        <v>781720073528.792</v>
      </c>
      <c r="I26" s="23" t="n">
        <f aca="false">Inputs!B11*B26</f>
        <v>0</v>
      </c>
      <c r="J26" s="23" t="n">
        <f aca="false">IF(D26&gt;0,H26/D26,0)</f>
        <v>2058.43833485063</v>
      </c>
      <c r="K26" s="24" t="n">
        <f aca="false">IF(D26&gt;0,I26/D26/12,0)</f>
        <v>0</v>
      </c>
      <c r="L26" s="23" t="n">
        <f aca="false">(L25+J26)*(1+Inputs!B17)</f>
        <v>92723.4176532724</v>
      </c>
      <c r="M26" s="23" t="n">
        <f aca="false">L26/E26</f>
        <v>92723.4176532724</v>
      </c>
      <c r="N26" s="23" t="n">
        <f aca="false">N25+K26*12/E26</f>
        <v>0</v>
      </c>
    </row>
    <row r="27" customFormat="false" ht="15" hidden="false" customHeight="true" outlineLevel="0" collapsed="false">
      <c r="A27" s="18" t="n">
        <v>22</v>
      </c>
      <c r="B27" s="23" t="n">
        <f aca="false">B26+G26+H26+I26</f>
        <v>36884483599298.5</v>
      </c>
      <c r="C27" s="23" t="n">
        <f aca="false">C26*(1+Inputs!B14)*(1+Inputs!B16)</f>
        <v>47461575892819.5</v>
      </c>
      <c r="D27" s="22" t="n">
        <f aca="false">D26*(1+Inputs!B15)</f>
        <v>381662477.129024</v>
      </c>
      <c r="E27" s="21" t="n">
        <f aca="false">E26*(1+Inputs!B16)</f>
        <v>1</v>
      </c>
      <c r="F27" s="22" t="n">
        <f aca="false">MAX(0,D27*Inputs!B15)</f>
        <v>1908312.38564512</v>
      </c>
      <c r="G27" s="23" t="n">
        <f aca="false">Inputs!B9*(C27/D27)*F27</f>
        <v>5932696986.60244</v>
      </c>
      <c r="H27" s="23" t="n">
        <f aca="false">Inputs!B10*C27*Inputs!B14</f>
        <v>797354474999.368</v>
      </c>
      <c r="I27" s="23" t="n">
        <f aca="false">Inputs!B11*B27</f>
        <v>0</v>
      </c>
      <c r="J27" s="23" t="n">
        <f aca="false">IF(D27&gt;0,H27/D27,0)</f>
        <v>2089.16129507228</v>
      </c>
      <c r="K27" s="24" t="n">
        <f aca="false">IF(D27&gt;0,I27/D27/12,0)</f>
        <v>0</v>
      </c>
      <c r="L27" s="23" t="n">
        <f aca="false">(L26+J27)*(1+Inputs!B17)</f>
        <v>100975.396579987</v>
      </c>
      <c r="M27" s="23" t="n">
        <f aca="false">L27/E27</f>
        <v>100975.396579987</v>
      </c>
      <c r="N27" s="23" t="n">
        <f aca="false">N26+K27*12/E27</f>
        <v>0</v>
      </c>
    </row>
    <row r="28" customFormat="false" ht="15" hidden="false" customHeight="true" outlineLevel="0" collapsed="false">
      <c r="A28" s="18" t="n">
        <v>23</v>
      </c>
      <c r="B28" s="23" t="n">
        <f aca="false">B27+G27+H27+I27</f>
        <v>37687770771284.5</v>
      </c>
      <c r="C28" s="23" t="n">
        <f aca="false">C27*(1+Inputs!B14)*(1+Inputs!B16)</f>
        <v>48410807410675.9</v>
      </c>
      <c r="D28" s="22" t="n">
        <f aca="false">D27*(1+Inputs!B15)</f>
        <v>383570789.51467</v>
      </c>
      <c r="E28" s="21" t="n">
        <f aca="false">E27*(1+Inputs!B16)</f>
        <v>1</v>
      </c>
      <c r="F28" s="22" t="n">
        <f aca="false">MAX(0,D28*Inputs!B15)</f>
        <v>1917853.94757335</v>
      </c>
      <c r="G28" s="23" t="n">
        <f aca="false">Inputs!B9*(C28/D28)*F28</f>
        <v>6051350926.33449</v>
      </c>
      <c r="H28" s="23" t="n">
        <f aca="false">Inputs!B10*C28*Inputs!B14</f>
        <v>813301564499.356</v>
      </c>
      <c r="I28" s="23" t="n">
        <f aca="false">Inputs!B11*B28</f>
        <v>0</v>
      </c>
      <c r="J28" s="23" t="n">
        <f aca="false">IF(D28&gt;0,H28/D28,0)</f>
        <v>2120.34280693903</v>
      </c>
      <c r="K28" s="24" t="n">
        <f aca="false">IF(D28&gt;0,I28/D28/12,0)</f>
        <v>0</v>
      </c>
      <c r="L28" s="23" t="n">
        <f aca="false">(L27+J28)*(1+Inputs!B17)</f>
        <v>109796.962447076</v>
      </c>
      <c r="M28" s="23" t="n">
        <f aca="false">L28/E28</f>
        <v>109796.962447076</v>
      </c>
      <c r="N28" s="23" t="n">
        <f aca="false">N27+K28*12/E28</f>
        <v>0</v>
      </c>
    </row>
    <row r="29" customFormat="false" ht="15" hidden="false" customHeight="true" outlineLevel="0" collapsed="false">
      <c r="A29" s="18" t="n">
        <v>24</v>
      </c>
      <c r="B29" s="23" t="n">
        <f aca="false">B28+G28+H28+I28</f>
        <v>38507123686710.2</v>
      </c>
      <c r="C29" s="23" t="n">
        <f aca="false">C28*(1+Inputs!B14)*(1+Inputs!B16)</f>
        <v>49379023558889.4</v>
      </c>
      <c r="D29" s="22" t="n">
        <f aca="false">D28*(1+Inputs!B15)</f>
        <v>385488643.462243</v>
      </c>
      <c r="E29" s="21" t="n">
        <f aca="false">E28*(1+Inputs!B16)</f>
        <v>1</v>
      </c>
      <c r="F29" s="22" t="n">
        <f aca="false">MAX(0,D29*Inputs!B15)</f>
        <v>1927443.21731121</v>
      </c>
      <c r="G29" s="23" t="n">
        <f aca="false">Inputs!B9*(C29/D29)*F29</f>
        <v>6172377944.86118</v>
      </c>
      <c r="H29" s="23" t="n">
        <f aca="false">Inputs!B10*C29*Inputs!B14</f>
        <v>829567595789.343</v>
      </c>
      <c r="I29" s="23" t="n">
        <f aca="false">Inputs!B11*B29</f>
        <v>0</v>
      </c>
      <c r="J29" s="23" t="n">
        <f aca="false">IF(D29&gt;0,H29/D29,0)</f>
        <v>2151.98971450529</v>
      </c>
      <c r="K29" s="24" t="n">
        <f aca="false">IF(D29&gt;0,I29/D29/12,0)</f>
        <v>0</v>
      </c>
      <c r="L29" s="23" t="n">
        <f aca="false">(L28+J29)*(1+Inputs!B17)</f>
        <v>119225.634052084</v>
      </c>
      <c r="M29" s="23" t="n">
        <f aca="false">L29/E29</f>
        <v>119225.634052084</v>
      </c>
      <c r="N29" s="23" t="n">
        <f aca="false">N28+K29*12/E29</f>
        <v>0</v>
      </c>
    </row>
    <row r="30" customFormat="false" ht="15" hidden="false" customHeight="true" outlineLevel="0" collapsed="false">
      <c r="A30" s="18" t="n">
        <v>25</v>
      </c>
      <c r="B30" s="23" t="n">
        <f aca="false">B29+G29+H29+I29</f>
        <v>39342863660444.4</v>
      </c>
      <c r="C30" s="23" t="n">
        <f aca="false">C29*(1+Inputs!B14)*(1+Inputs!B16)</f>
        <v>50366604030067.2</v>
      </c>
      <c r="D30" s="22" t="n">
        <f aca="false">D29*(1+Inputs!B15)</f>
        <v>387416086.679554</v>
      </c>
      <c r="E30" s="21" t="n">
        <f aca="false">E29*(1+Inputs!B16)</f>
        <v>1</v>
      </c>
      <c r="F30" s="22" t="n">
        <f aca="false">MAX(0,D30*Inputs!B15)</f>
        <v>1937080.43339777</v>
      </c>
      <c r="G30" s="23" t="n">
        <f aca="false">Inputs!B9*(C30/D30)*F30</f>
        <v>6295825503.7584</v>
      </c>
      <c r="H30" s="23" t="n">
        <f aca="false">Inputs!B10*C30*Inputs!B14</f>
        <v>846158947705.13</v>
      </c>
      <c r="I30" s="23" t="n">
        <f aca="false">Inputs!B11*B30</f>
        <v>0</v>
      </c>
      <c r="J30" s="23" t="n">
        <f aca="false">IF(D30&gt;0,H30/D30,0)</f>
        <v>2184.10896397552</v>
      </c>
      <c r="K30" s="24" t="n">
        <f aca="false">IF(D30&gt;0,I30/D30/12,0)</f>
        <v>0</v>
      </c>
      <c r="L30" s="23" t="n">
        <f aca="false">(L29+J30)*(1+Inputs!B17)</f>
        <v>129301.376312104</v>
      </c>
      <c r="M30" s="23" t="n">
        <f aca="false">L30/E30</f>
        <v>129301.376312104</v>
      </c>
      <c r="N30" s="23" t="n">
        <f aca="false">N29+K30*12/E30</f>
        <v>0</v>
      </c>
    </row>
    <row r="31" customFormat="false" ht="15" hidden="false" customHeight="true" outlineLevel="0" collapsed="false">
      <c r="A31" s="18" t="n">
        <v>26</v>
      </c>
      <c r="B31" s="23" t="n">
        <f aca="false">B30+G30+H30+I30</f>
        <v>40195318433653.3</v>
      </c>
      <c r="C31" s="23" t="n">
        <f aca="false">C30*(1+Inputs!B14)*(1+Inputs!B16)</f>
        <v>51373936110668.6</v>
      </c>
      <c r="D31" s="22" t="n">
        <f aca="false">D30*(1+Inputs!B15)</f>
        <v>389353167.112952</v>
      </c>
      <c r="E31" s="21" t="n">
        <f aca="false">E30*(1+Inputs!B16)</f>
        <v>1</v>
      </c>
      <c r="F31" s="22" t="n">
        <f aca="false">MAX(0,D31*Inputs!B15)</f>
        <v>1946765.83556476</v>
      </c>
      <c r="G31" s="23" t="n">
        <f aca="false">Inputs!B9*(C31/D31)*F31</f>
        <v>6421742013.83357</v>
      </c>
      <c r="H31" s="23" t="n">
        <f aca="false">Inputs!B10*C31*Inputs!B14</f>
        <v>863082126659.232</v>
      </c>
      <c r="I31" s="23" t="n">
        <f aca="false">Inputs!B11*B31</f>
        <v>0</v>
      </c>
      <c r="J31" s="23" t="n">
        <f aca="false">IF(D31&gt;0,H31/D31,0)</f>
        <v>2216.70760522888</v>
      </c>
      <c r="K31" s="24" t="n">
        <f aca="false">IF(D31&gt;0,I31/D31/12,0)</f>
        <v>0</v>
      </c>
      <c r="L31" s="23" t="n">
        <f aca="false">(L30+J31)*(1+Inputs!B17)</f>
        <v>140066.759371959</v>
      </c>
      <c r="M31" s="23" t="n">
        <f aca="false">L31/E31</f>
        <v>140066.759371959</v>
      </c>
      <c r="N31" s="23" t="n">
        <f aca="false">N30+K31*12/E31</f>
        <v>0</v>
      </c>
    </row>
    <row r="32" customFormat="false" ht="15" hidden="false" customHeight="true" outlineLevel="0" collapsed="false">
      <c r="A32" s="18" t="n">
        <v>27</v>
      </c>
      <c r="B32" s="23" t="n">
        <f aca="false">B31+G31+H31+I31</f>
        <v>41064822302326.4</v>
      </c>
      <c r="C32" s="23" t="n">
        <f aca="false">C31*(1+Inputs!B14)*(1+Inputs!B16)</f>
        <v>52401414832882</v>
      </c>
      <c r="D32" s="22" t="n">
        <f aca="false">D31*(1+Inputs!B15)</f>
        <v>391299932.948516</v>
      </c>
      <c r="E32" s="21" t="n">
        <f aca="false">E31*(1+Inputs!B16)</f>
        <v>1</v>
      </c>
      <c r="F32" s="22" t="n">
        <f aca="false">MAX(0,D32*Inputs!B15)</f>
        <v>1956499.66474258</v>
      </c>
      <c r="G32" s="23" t="n">
        <f aca="false">Inputs!B9*(C32/D32)*F32</f>
        <v>6550176854.11025</v>
      </c>
      <c r="H32" s="23" t="n">
        <f aca="false">Inputs!B10*C32*Inputs!B14</f>
        <v>880343769192.417</v>
      </c>
      <c r="I32" s="23" t="n">
        <f aca="false">Inputs!B11*B32</f>
        <v>0</v>
      </c>
      <c r="J32" s="23" t="n">
        <f aca="false">IF(D32&gt;0,H32/D32,0)</f>
        <v>2249.79279336663</v>
      </c>
      <c r="K32" s="24" t="n">
        <f aca="false">IF(D32&gt;0,I32/D32/12,0)</f>
        <v>0</v>
      </c>
      <c r="L32" s="23" t="n">
        <f aca="false">(L31+J32)*(1+Inputs!B17)</f>
        <v>151567.128056072</v>
      </c>
      <c r="M32" s="23" t="n">
        <f aca="false">L32/E32</f>
        <v>151567.128056072</v>
      </c>
      <c r="N32" s="23" t="n">
        <f aca="false">N31+K32*12/E32</f>
        <v>0</v>
      </c>
    </row>
    <row r="33" customFormat="false" ht="15" hidden="false" customHeight="true" outlineLevel="0" collapsed="false">
      <c r="A33" s="18" t="n">
        <v>28</v>
      </c>
      <c r="B33" s="23" t="n">
        <f aca="false">B32+G32+H32+I32</f>
        <v>41951716248372.9</v>
      </c>
      <c r="C33" s="23" t="n">
        <f aca="false">C32*(1+Inputs!B14)*(1+Inputs!B16)</f>
        <v>53449443129539.6</v>
      </c>
      <c r="D33" s="22" t="n">
        <f aca="false">D32*(1+Inputs!B15)</f>
        <v>393256432.613259</v>
      </c>
      <c r="E33" s="21" t="n">
        <f aca="false">E32*(1+Inputs!B16)</f>
        <v>1</v>
      </c>
      <c r="F33" s="22" t="n">
        <f aca="false">MAX(0,D33*Inputs!B15)</f>
        <v>1966282.16306629</v>
      </c>
      <c r="G33" s="23" t="n">
        <f aca="false">Inputs!B9*(C33/D33)*F33</f>
        <v>6681180391.19245</v>
      </c>
      <c r="H33" s="23" t="n">
        <f aca="false">Inputs!B10*C33*Inputs!B14</f>
        <v>897950644576.265</v>
      </c>
      <c r="I33" s="23" t="n">
        <f aca="false">Inputs!B11*B33</f>
        <v>0</v>
      </c>
      <c r="J33" s="23" t="n">
        <f aca="false">IF(D33&gt;0,H33/D33,0)</f>
        <v>2283.37179028255</v>
      </c>
      <c r="K33" s="24" t="n">
        <f aca="false">IF(D33&gt;0,I33/D33/12,0)</f>
        <v>0</v>
      </c>
      <c r="L33" s="23" t="n">
        <f aca="false">(L32+J33)*(1+Inputs!B17)</f>
        <v>163850.782336368</v>
      </c>
      <c r="M33" s="23" t="n">
        <f aca="false">L33/E33</f>
        <v>163850.782336368</v>
      </c>
      <c r="N33" s="23" t="n">
        <f aca="false">N32+K33*12/E33</f>
        <v>0</v>
      </c>
    </row>
    <row r="34" customFormat="false" ht="15" hidden="false" customHeight="true" outlineLevel="0" collapsed="false">
      <c r="A34" s="18" t="n">
        <v>29</v>
      </c>
      <c r="B34" s="23" t="n">
        <f aca="false">B33+G33+H33+I33</f>
        <v>42856348073340.4</v>
      </c>
      <c r="C34" s="23" t="n">
        <f aca="false">C33*(1+Inputs!B14)*(1+Inputs!B16)</f>
        <v>54518431992130.4</v>
      </c>
      <c r="D34" s="22" t="n">
        <f aca="false">D33*(1+Inputs!B15)</f>
        <v>395222714.776325</v>
      </c>
      <c r="E34" s="21" t="n">
        <f aca="false">E33*(1+Inputs!B16)</f>
        <v>1</v>
      </c>
      <c r="F34" s="22" t="n">
        <f aca="false">MAX(0,D34*Inputs!B15)</f>
        <v>1976113.57388163</v>
      </c>
      <c r="G34" s="23" t="n">
        <f aca="false">Inputs!B9*(C34/D34)*F34</f>
        <v>6814803999.0163</v>
      </c>
      <c r="H34" s="23" t="n">
        <f aca="false">Inputs!B10*C34*Inputs!B14</f>
        <v>915909657467.791</v>
      </c>
      <c r="I34" s="23" t="n">
        <f aca="false">Inputs!B11*B34</f>
        <v>0</v>
      </c>
      <c r="J34" s="23" t="n">
        <f aca="false">IF(D34&gt;0,H34/D34,0)</f>
        <v>2317.45196625691</v>
      </c>
      <c r="K34" s="24" t="n">
        <f aca="false">IF(D34&gt;0,I34/D34/12,0)</f>
        <v>0</v>
      </c>
      <c r="L34" s="23" t="n">
        <f aca="false">(L33+J34)*(1+Inputs!B17)</f>
        <v>176969.169532295</v>
      </c>
      <c r="M34" s="23" t="n">
        <f aca="false">L34/E34</f>
        <v>176969.169532295</v>
      </c>
      <c r="N34" s="23" t="n">
        <f aca="false">N33+K34*12/E34</f>
        <v>0</v>
      </c>
    </row>
    <row r="35" customFormat="false" ht="15" hidden="false" customHeight="true" outlineLevel="0" collapsed="false">
      <c r="A35" s="18" t="n">
        <v>30</v>
      </c>
      <c r="B35" s="23" t="n">
        <f aca="false">B34+G34+H34+I34</f>
        <v>43779072534807.2</v>
      </c>
      <c r="C35" s="23" t="n">
        <f aca="false">C34*(1+Inputs!B14)*(1+Inputs!B16)</f>
        <v>55608800631973</v>
      </c>
      <c r="D35" s="22" t="n">
        <f aca="false">D34*(1+Inputs!B15)</f>
        <v>397198828.350207</v>
      </c>
      <c r="E35" s="21" t="n">
        <f aca="false">E34*(1+Inputs!B16)</f>
        <v>1</v>
      </c>
      <c r="F35" s="22" t="n">
        <f aca="false">MAX(0,D35*Inputs!B15)</f>
        <v>1985994.14175103</v>
      </c>
      <c r="G35" s="23" t="n">
        <f aca="false">Inputs!B9*(C35/D35)*F35</f>
        <v>6951100078.99662</v>
      </c>
      <c r="H35" s="23" t="n">
        <f aca="false">Inputs!B10*C35*Inputs!B14</f>
        <v>934227850617.146</v>
      </c>
      <c r="I35" s="23" t="n">
        <f aca="false">Inputs!B11*B35</f>
        <v>0</v>
      </c>
      <c r="J35" s="23" t="n">
        <f aca="false">IF(D35&gt;0,H35/D35,0)</f>
        <v>2352.04080157418</v>
      </c>
      <c r="K35" s="24" t="n">
        <f aca="false">IF(D35&gt;0,I35/D35/12,0)</f>
        <v>0</v>
      </c>
      <c r="L35" s="23" t="n">
        <f aca="false">(L34+J35)*(1+Inputs!B17)</f>
        <v>190977.089005571</v>
      </c>
      <c r="M35" s="23" t="n">
        <f aca="false">L35/E35</f>
        <v>190977.089005571</v>
      </c>
      <c r="N35" s="23" t="n">
        <f aca="false">N34+K35*12/E35</f>
        <v>0</v>
      </c>
    </row>
    <row r="36" customFormat="false" ht="15" hidden="false" customHeight="true" outlineLevel="0" collapsed="false">
      <c r="A36" s="18" t="n">
        <v>31</v>
      </c>
      <c r="B36" s="23" t="n">
        <f aca="false">B35+G35+H35+I35</f>
        <v>44720251485503.3</v>
      </c>
      <c r="C36" s="23" t="n">
        <f aca="false">C35*(1+Inputs!B14)*(1+Inputs!B16)</f>
        <v>56720976644612.5</v>
      </c>
      <c r="D36" s="22" t="n">
        <f aca="false">D35*(1+Inputs!B15)</f>
        <v>399184822.491958</v>
      </c>
      <c r="E36" s="21" t="n">
        <f aca="false">E35*(1+Inputs!B16)</f>
        <v>1</v>
      </c>
      <c r="F36" s="22" t="n">
        <f aca="false">MAX(0,D36*Inputs!B15)</f>
        <v>1995924.11245979</v>
      </c>
      <c r="G36" s="23" t="n">
        <f aca="false">Inputs!B9*(C36/D36)*F36</f>
        <v>7090122080.57656</v>
      </c>
      <c r="H36" s="23" t="n">
        <f aca="false">Inputs!B10*C36*Inputs!B14</f>
        <v>952912407629.489</v>
      </c>
      <c r="I36" s="23" t="n">
        <f aca="false">Inputs!B11*B36</f>
        <v>0</v>
      </c>
      <c r="J36" s="23" t="n">
        <f aca="false">IF(D36&gt;0,H36/D36,0)</f>
        <v>2387.14588816484</v>
      </c>
      <c r="K36" s="24" t="n">
        <f aca="false">IF(D36&gt;0,I36/D36/12,0)</f>
        <v>0</v>
      </c>
      <c r="L36" s="23" t="n">
        <f aca="false">(L35+J36)*(1+Inputs!B17)</f>
        <v>205932.910161829</v>
      </c>
      <c r="M36" s="23" t="n">
        <f aca="false">L36/E36</f>
        <v>205932.910161829</v>
      </c>
      <c r="N36" s="23" t="n">
        <f aca="false">N35+K36*12/E36</f>
        <v>0</v>
      </c>
    </row>
    <row r="37" customFormat="false" ht="15" hidden="false" customHeight="true" outlineLevel="0" collapsed="false">
      <c r="A37" s="18" t="n">
        <v>32</v>
      </c>
      <c r="B37" s="23" t="n">
        <f aca="false">B36+G36+H36+I36</f>
        <v>45680254015213.4</v>
      </c>
      <c r="C37" s="23" t="n">
        <f aca="false">C36*(1+Inputs!B14)*(1+Inputs!B16)</f>
        <v>57855396177504.7</v>
      </c>
      <c r="D37" s="22" t="n">
        <f aca="false">D36*(1+Inputs!B15)</f>
        <v>401180746.604418</v>
      </c>
      <c r="E37" s="21" t="n">
        <f aca="false">E36*(1+Inputs!B16)</f>
        <v>1</v>
      </c>
      <c r="F37" s="22" t="n">
        <f aca="false">MAX(0,D37*Inputs!B15)</f>
        <v>2005903.73302209</v>
      </c>
      <c r="G37" s="23" t="n">
        <f aca="false">Inputs!B9*(C37/D37)*F37</f>
        <v>7231924522.18809</v>
      </c>
      <c r="H37" s="23" t="n">
        <f aca="false">Inputs!B10*C37*Inputs!B14</f>
        <v>971970655782.079</v>
      </c>
      <c r="I37" s="23" t="n">
        <f aca="false">Inputs!B11*B37</f>
        <v>0</v>
      </c>
      <c r="J37" s="23" t="n">
        <f aca="false">IF(D37&gt;0,H37/D37,0)</f>
        <v>2422.77493127178</v>
      </c>
      <c r="K37" s="24" t="n">
        <f aca="false">IF(D37&gt;0,I37/D37/12,0)</f>
        <v>0</v>
      </c>
      <c r="L37" s="23" t="n">
        <f aca="false">(L36+J37)*(1+Inputs!B17)</f>
        <v>221898.804624152</v>
      </c>
      <c r="M37" s="23" t="n">
        <f aca="false">L37/E37</f>
        <v>221898.804624152</v>
      </c>
      <c r="N37" s="23" t="n">
        <f aca="false">N36+K37*12/E37</f>
        <v>0</v>
      </c>
    </row>
    <row r="38" customFormat="false" ht="15" hidden="false" customHeight="true" outlineLevel="0" collapsed="false">
      <c r="A38" s="18" t="n">
        <v>33</v>
      </c>
      <c r="B38" s="23" t="n">
        <f aca="false">B37+G37+H37+I37</f>
        <v>46659456595517.6</v>
      </c>
      <c r="C38" s="23" t="n">
        <f aca="false">C37*(1+Inputs!B14)*(1+Inputs!B16)</f>
        <v>59012504101054.8</v>
      </c>
      <c r="D38" s="22" t="n">
        <f aca="false">D37*(1+Inputs!B15)</f>
        <v>403186650.33744</v>
      </c>
      <c r="E38" s="21" t="n">
        <f aca="false">E37*(1+Inputs!B16)</f>
        <v>1</v>
      </c>
      <c r="F38" s="22" t="n">
        <f aca="false">MAX(0,D38*Inputs!B15)</f>
        <v>2015933.2516872</v>
      </c>
      <c r="G38" s="23" t="n">
        <f aca="false">Inputs!B9*(C38/D38)*F38</f>
        <v>7376563012.63185</v>
      </c>
      <c r="H38" s="23" t="n">
        <f aca="false">Inputs!B10*C38*Inputs!B14</f>
        <v>991410068897.721</v>
      </c>
      <c r="I38" s="23" t="n">
        <f aca="false">Inputs!B11*B38</f>
        <v>0</v>
      </c>
      <c r="J38" s="23" t="n">
        <f aca="false">IF(D38&gt;0,H38/D38,0)</f>
        <v>2458.93575114151</v>
      </c>
      <c r="K38" s="24" t="n">
        <f aca="false">IF(D38&gt;0,I38/D38/12,0)</f>
        <v>0</v>
      </c>
      <c r="L38" s="23" t="n">
        <f aca="false">(L37+J38)*(1+Inputs!B17)</f>
        <v>238940.993499687</v>
      </c>
      <c r="M38" s="23" t="n">
        <f aca="false">L38/E38</f>
        <v>238940.993499687</v>
      </c>
      <c r="N38" s="23" t="n">
        <f aca="false">N37+K38*12/E38</f>
        <v>0</v>
      </c>
    </row>
    <row r="39" customFormat="false" ht="15" hidden="false" customHeight="true" outlineLevel="0" collapsed="false">
      <c r="A39" s="18" t="n">
        <v>34</v>
      </c>
      <c r="B39" s="23" t="n">
        <f aca="false">B38+G38+H38+I38</f>
        <v>47658243227428</v>
      </c>
      <c r="C39" s="23" t="n">
        <f aca="false">C38*(1+Inputs!B14)*(1+Inputs!B16)</f>
        <v>60192754183075.9</v>
      </c>
      <c r="D39" s="22" t="n">
        <f aca="false">D38*(1+Inputs!B15)</f>
        <v>405202583.589127</v>
      </c>
      <c r="E39" s="21" t="n">
        <f aca="false">E38*(1+Inputs!B16)</f>
        <v>1</v>
      </c>
      <c r="F39" s="22" t="n">
        <f aca="false">MAX(0,D39*Inputs!B15)</f>
        <v>2026012.91794563</v>
      </c>
      <c r="G39" s="23" t="n">
        <f aca="false">Inputs!B9*(C39/D39)*F39</f>
        <v>7524094272.88449</v>
      </c>
      <c r="H39" s="23" t="n">
        <f aca="false">Inputs!B10*C39*Inputs!B14</f>
        <v>1011238270275.68</v>
      </c>
      <c r="I39" s="23" t="n">
        <f aca="false">Inputs!B11*B39</f>
        <v>0</v>
      </c>
      <c r="J39" s="23" t="n">
        <f aca="false">IF(D39&gt;0,H39/D39,0)</f>
        <v>2495.63628474064</v>
      </c>
      <c r="K39" s="24" t="n">
        <f aca="false">IF(D39&gt;0,I39/D39/12,0)</f>
        <v>0</v>
      </c>
      <c r="L39" s="23" t="n">
        <f aca="false">(L38+J39)*(1+Inputs!B17)</f>
        <v>257130.010720416</v>
      </c>
      <c r="M39" s="23" t="n">
        <f aca="false">L39/E39</f>
        <v>257130.010720416</v>
      </c>
      <c r="N39" s="23" t="n">
        <f aca="false">N38+K39*12/E39</f>
        <v>0</v>
      </c>
    </row>
    <row r="40" customFormat="false" ht="15" hidden="false" customHeight="true" outlineLevel="0" collapsed="false">
      <c r="A40" s="18" t="n">
        <v>35</v>
      </c>
      <c r="B40" s="23" t="n">
        <f aca="false">B39+G39+H39+I39</f>
        <v>48677005591976.6</v>
      </c>
      <c r="C40" s="23" t="n">
        <f aca="false">C39*(1+Inputs!B14)*(1+Inputs!B16)</f>
        <v>61396609266737.4</v>
      </c>
      <c r="D40" s="22" t="n">
        <f aca="false">D39*(1+Inputs!B15)</f>
        <v>407228596.507072</v>
      </c>
      <c r="E40" s="21" t="n">
        <f aca="false">E39*(1+Inputs!B16)</f>
        <v>1</v>
      </c>
      <c r="F40" s="22" t="n">
        <f aca="false">MAX(0,D40*Inputs!B15)</f>
        <v>2036142.98253536</v>
      </c>
      <c r="G40" s="23" t="n">
        <f aca="false">Inputs!B9*(C40/D40)*F40</f>
        <v>7674576158.34218</v>
      </c>
      <c r="H40" s="23" t="n">
        <f aca="false">Inputs!B10*C40*Inputs!B14</f>
        <v>1031463035681.19</v>
      </c>
      <c r="I40" s="23" t="n">
        <f aca="false">Inputs!B11*B40</f>
        <v>0</v>
      </c>
      <c r="J40" s="23" t="n">
        <f aca="false">IF(D40&gt;0,H40/D40,0)</f>
        <v>2532.88458749796</v>
      </c>
      <c r="K40" s="24" t="n">
        <f aca="false">IF(D40&gt;0,I40/D40/12,0)</f>
        <v>0</v>
      </c>
      <c r="L40" s="23" t="n">
        <f aca="false">(L39+J40)*(1+Inputs!B17)</f>
        <v>276540.983502928</v>
      </c>
      <c r="M40" s="23" t="n">
        <f aca="false">L40/E40</f>
        <v>276540.983502928</v>
      </c>
      <c r="N40" s="23" t="n">
        <f aca="false">N39+K40*12/E40</f>
        <v>0</v>
      </c>
    </row>
    <row r="41" customFormat="false" ht="15" hidden="false" customHeight="true" outlineLevel="0" collapsed="false">
      <c r="A41" s="18" t="n">
        <v>36</v>
      </c>
      <c r="B41" s="23" t="n">
        <f aca="false">B40+G40+H40+I40</f>
        <v>49716143203816.1</v>
      </c>
      <c r="C41" s="23" t="n">
        <f aca="false">C40*(1+Inputs!B14)*(1+Inputs!B16)</f>
        <v>62624541452072.2</v>
      </c>
      <c r="D41" s="22" t="n">
        <f aca="false">D40*(1+Inputs!B15)</f>
        <v>409264739.489608</v>
      </c>
      <c r="E41" s="21" t="n">
        <f aca="false">E40*(1+Inputs!B16)</f>
        <v>1</v>
      </c>
      <c r="F41" s="22" t="n">
        <f aca="false">MAX(0,D41*Inputs!B15)</f>
        <v>2046323.69744804</v>
      </c>
      <c r="G41" s="23" t="n">
        <f aca="false">Inputs!B9*(C41/D41)*F41</f>
        <v>7828067681.50902</v>
      </c>
      <c r="H41" s="23" t="n">
        <f aca="false">Inputs!B10*C41*Inputs!B14</f>
        <v>1052092296394.81</v>
      </c>
      <c r="I41" s="23" t="n">
        <f aca="false">Inputs!B11*B41</f>
        <v>0</v>
      </c>
      <c r="J41" s="23" t="n">
        <f aca="false">IF(D41&gt;0,H41/D41,0)</f>
        <v>2570.68883507256</v>
      </c>
      <c r="K41" s="24" t="n">
        <f aca="false">IF(D41&gt;0,I41/D41/12,0)</f>
        <v>0</v>
      </c>
      <c r="L41" s="23" t="n">
        <f aca="false">(L40+J41)*(1+Inputs!B17)</f>
        <v>297253.931039971</v>
      </c>
      <c r="M41" s="23" t="n">
        <f aca="false">L41/E41</f>
        <v>297253.931039971</v>
      </c>
      <c r="N41" s="23" t="n">
        <f aca="false">N40+K41*12/E41</f>
        <v>0</v>
      </c>
    </row>
    <row r="42" customFormat="false" ht="15" hidden="false" customHeight="true" outlineLevel="0" collapsed="false">
      <c r="A42" s="18" t="n">
        <v>37</v>
      </c>
      <c r="B42" s="23" t="n">
        <f aca="false">B41+G41+H41+I41</f>
        <v>50776063567892.4</v>
      </c>
      <c r="C42" s="23" t="n">
        <f aca="false">C41*(1+Inputs!B14)*(1+Inputs!B16)</f>
        <v>63877032281113.6</v>
      </c>
      <c r="D42" s="22" t="n">
        <f aca="false">D41*(1+Inputs!B15)</f>
        <v>411311063.187056</v>
      </c>
      <c r="E42" s="21" t="n">
        <f aca="false">E41*(1+Inputs!B16)</f>
        <v>1</v>
      </c>
      <c r="F42" s="22" t="n">
        <f aca="false">MAX(0,D42*Inputs!B15)</f>
        <v>2056555.31593528</v>
      </c>
      <c r="G42" s="23" t="n">
        <f aca="false">Inputs!B9*(C42/D42)*F42</f>
        <v>7984629035.1392</v>
      </c>
      <c r="H42" s="23" t="n">
        <f aca="false">Inputs!B10*C42*Inputs!B14</f>
        <v>1073134142322.71</v>
      </c>
      <c r="I42" s="23" t="n">
        <f aca="false">Inputs!B11*B42</f>
        <v>0</v>
      </c>
      <c r="J42" s="23" t="n">
        <f aca="false">IF(D42&gt;0,H42/D42,0)</f>
        <v>2609.05732514827</v>
      </c>
      <c r="K42" s="24" t="n">
        <f aca="false">IF(D42&gt;0,I42/D42/12,0)</f>
        <v>0</v>
      </c>
      <c r="L42" s="23" t="n">
        <f aca="false">(L41+J42)*(1+Inputs!B17)</f>
        <v>319354.082608852</v>
      </c>
      <c r="M42" s="23" t="n">
        <f aca="false">L42/E42</f>
        <v>319354.082608852</v>
      </c>
      <c r="N42" s="23" t="n">
        <f aca="false">N41+K42*12/E42</f>
        <v>0</v>
      </c>
    </row>
    <row r="43" customFormat="false" ht="15" hidden="false" customHeight="true" outlineLevel="0" collapsed="false">
      <c r="A43" s="18" t="n">
        <v>38</v>
      </c>
      <c r="B43" s="23" t="n">
        <f aca="false">B42+G42+H42+I42</f>
        <v>51857182339250.3</v>
      </c>
      <c r="C43" s="23" t="n">
        <f aca="false">C42*(1+Inputs!B14)*(1+Inputs!B16)</f>
        <v>65154572926735.9</v>
      </c>
      <c r="D43" s="22" t="n">
        <f aca="false">D42*(1+Inputs!B15)</f>
        <v>413367618.502991</v>
      </c>
      <c r="E43" s="21" t="n">
        <f aca="false">E42*(1+Inputs!B16)</f>
        <v>1</v>
      </c>
      <c r="F43" s="22" t="n">
        <f aca="false">MAX(0,D43*Inputs!B15)</f>
        <v>2066838.09251495</v>
      </c>
      <c r="G43" s="23" t="n">
        <f aca="false">Inputs!B9*(C43/D43)*F43</f>
        <v>8144321615.84199</v>
      </c>
      <c r="H43" s="23" t="n">
        <f aca="false">Inputs!B10*C43*Inputs!B14</f>
        <v>1094596825169.16</v>
      </c>
      <c r="I43" s="23" t="n">
        <f aca="false">Inputs!B11*B43</f>
        <v>0</v>
      </c>
      <c r="J43" s="23" t="n">
        <f aca="false">IF(D43&gt;0,H43/D43,0)</f>
        <v>2647.99847925496</v>
      </c>
      <c r="K43" s="24" t="n">
        <f aca="false">IF(D43&gt;0,I43/D43/12,0)</f>
        <v>0</v>
      </c>
      <c r="L43" s="23" t="n">
        <f aca="false">(L42+J43)*(1+Inputs!B17)</f>
        <v>342932.216358834</v>
      </c>
      <c r="M43" s="23" t="n">
        <f aca="false">L43/E43</f>
        <v>342932.216358834</v>
      </c>
      <c r="N43" s="23" t="n">
        <f aca="false">N42+K43*12/E43</f>
        <v>0</v>
      </c>
    </row>
    <row r="44" customFormat="false" ht="15" hidden="false" customHeight="true" outlineLevel="0" collapsed="false">
      <c r="A44" s="18" t="n">
        <v>39</v>
      </c>
      <c r="B44" s="23" t="n">
        <f aca="false">B43+G43+H43+I43</f>
        <v>52959923486035.3</v>
      </c>
      <c r="C44" s="23" t="n">
        <f aca="false">C43*(1+Inputs!B14)*(1+Inputs!B16)</f>
        <v>66457664385270.6</v>
      </c>
      <c r="D44" s="22" t="n">
        <f aca="false">D43*(1+Inputs!B15)</f>
        <v>415434456.595506</v>
      </c>
      <c r="E44" s="21" t="n">
        <f aca="false">E43*(1+Inputs!B16)</f>
        <v>1</v>
      </c>
      <c r="F44" s="22" t="n">
        <f aca="false">MAX(0,D44*Inputs!B15)</f>
        <v>2077172.28297753</v>
      </c>
      <c r="G44" s="23" t="n">
        <f aca="false">Inputs!B9*(C44/D44)*F44</f>
        <v>8307208048.15883</v>
      </c>
      <c r="H44" s="23" t="n">
        <f aca="false">Inputs!B10*C44*Inputs!B14</f>
        <v>1116488761672.55</v>
      </c>
      <c r="I44" s="23" t="n">
        <f aca="false">Inputs!B11*B44</f>
        <v>0</v>
      </c>
      <c r="J44" s="23" t="n">
        <f aca="false">IF(D44&gt;0,H44/D44,0)</f>
        <v>2687.52084461697</v>
      </c>
      <c r="K44" s="24" t="n">
        <f aca="false">IF(D44&gt;0,I44/D44/12,0)</f>
        <v>0</v>
      </c>
      <c r="L44" s="23" t="n">
        <f aca="false">(L43+J44)*(1+Inputs!B17)</f>
        <v>368085.020121675</v>
      </c>
      <c r="M44" s="23" t="n">
        <f aca="false">L44/E44</f>
        <v>368085.020121675</v>
      </c>
      <c r="N44" s="23" t="n">
        <f aca="false">N43+K44*12/E44</f>
        <v>0</v>
      </c>
    </row>
    <row r="45" customFormat="false" ht="15" hidden="false" customHeight="true" outlineLevel="0" collapsed="false">
      <c r="A45" s="18" t="n">
        <v>40</v>
      </c>
      <c r="B45" s="23" t="n">
        <f aca="false">B44+G44+H44+I44</f>
        <v>54084719455756</v>
      </c>
      <c r="C45" s="23" t="n">
        <f aca="false">C44*(1+Inputs!B14)*(1+Inputs!B16)</f>
        <v>67786817672976</v>
      </c>
      <c r="D45" s="22" t="n">
        <f aca="false">D44*(1+Inputs!B15)</f>
        <v>417511628.878483</v>
      </c>
      <c r="E45" s="21" t="n">
        <f aca="false">E44*(1+Inputs!B16)</f>
        <v>1</v>
      </c>
      <c r="F45" s="22" t="n">
        <f aca="false">MAX(0,D45*Inputs!B15)</f>
        <v>2087558.14439242</v>
      </c>
      <c r="G45" s="23" t="n">
        <f aca="false">Inputs!B9*(C45/D45)*F45</f>
        <v>8473352209.122</v>
      </c>
      <c r="H45" s="23" t="n">
        <f aca="false">Inputs!B10*C45*Inputs!B14</f>
        <v>1138818536906</v>
      </c>
      <c r="I45" s="23" t="n">
        <f aca="false">Inputs!B11*B45</f>
        <v>0</v>
      </c>
      <c r="J45" s="23" t="n">
        <f aca="false">IF(D45&gt;0,H45/D45,0)</f>
        <v>2727.63309602917</v>
      </c>
      <c r="K45" s="24" t="n">
        <f aca="false">IF(D45&gt;0,I45/D45/12,0)</f>
        <v>0</v>
      </c>
      <c r="L45" s="23" t="n">
        <f aca="false">(L44+J45)*(1+Inputs!B17)</f>
        <v>394915.475676855</v>
      </c>
      <c r="M45" s="23" t="n">
        <f aca="false">L45/E45</f>
        <v>394915.475676855</v>
      </c>
      <c r="N45" s="23" t="n">
        <f aca="false">N44+K45*12/E45</f>
        <v>0</v>
      </c>
    </row>
    <row r="46" customFormat="false" ht="15" hidden="false" customHeight="true" outlineLevel="0" collapsed="false">
      <c r="A46" s="18" t="n">
        <v>41</v>
      </c>
      <c r="B46" s="23" t="n">
        <f aca="false">B45+G45+H45+I45</f>
        <v>55232011344871.1</v>
      </c>
      <c r="C46" s="23" t="n">
        <f aca="false">C45*(1+Inputs!B14)*(1+Inputs!B16)</f>
        <v>69142554026435.5</v>
      </c>
      <c r="D46" s="22" t="n">
        <f aca="false">D45*(1+Inputs!B15)</f>
        <v>419599187.022876</v>
      </c>
      <c r="E46" s="21" t="n">
        <f aca="false">E45*(1+Inputs!B16)</f>
        <v>1</v>
      </c>
      <c r="F46" s="22" t="n">
        <f aca="false">MAX(0,D46*Inputs!B15)</f>
        <v>2097995.93511438</v>
      </c>
      <c r="G46" s="23" t="n">
        <f aca="false">Inputs!B9*(C46/D46)*F46</f>
        <v>8642819253.30444</v>
      </c>
      <c r="H46" s="23" t="n">
        <f aca="false">Inputs!B10*C46*Inputs!B14</f>
        <v>1161594907644.12</v>
      </c>
      <c r="I46" s="23" t="n">
        <f aca="false">Inputs!B11*B46</f>
        <v>0</v>
      </c>
      <c r="J46" s="23" t="n">
        <f aca="false">IF(D46&gt;0,H46/D46,0)</f>
        <v>2768.34403776094</v>
      </c>
      <c r="K46" s="24" t="n">
        <f aca="false">IF(D46&gt;0,I46/D46/12,0)</f>
        <v>0</v>
      </c>
      <c r="L46" s="23" t="n">
        <f aca="false">(L45+J46)*(1+Inputs!B17)</f>
        <v>423533.267996066</v>
      </c>
      <c r="M46" s="23" t="n">
        <f aca="false">L46/E46</f>
        <v>423533.267996066</v>
      </c>
      <c r="N46" s="23" t="n">
        <f aca="false">N45+K46*12/E46</f>
        <v>0</v>
      </c>
    </row>
    <row r="47" customFormat="false" ht="15" hidden="false" customHeight="true" outlineLevel="0" collapsed="false">
      <c r="A47" s="18" t="n">
        <v>42</v>
      </c>
      <c r="B47" s="23" t="n">
        <f aca="false">B46+G46+H46+I46</f>
        <v>56402249071768.5</v>
      </c>
      <c r="C47" s="23" t="n">
        <f aca="false">C46*(1+Inputs!B14)*(1+Inputs!B16)</f>
        <v>70525405106964.3</v>
      </c>
      <c r="D47" s="22" t="n">
        <f aca="false">D46*(1+Inputs!B15)</f>
        <v>421697182.95799</v>
      </c>
      <c r="E47" s="21" t="n">
        <f aca="false">E46*(1+Inputs!B16)</f>
        <v>1</v>
      </c>
      <c r="F47" s="22" t="n">
        <f aca="false">MAX(0,D47*Inputs!B15)</f>
        <v>2108485.91478995</v>
      </c>
      <c r="G47" s="23" t="n">
        <f aca="false">Inputs!B9*(C47/D47)*F47</f>
        <v>8815675638.37053</v>
      </c>
      <c r="H47" s="23" t="n">
        <f aca="false">Inputs!B10*C47*Inputs!B14</f>
        <v>1184826805797</v>
      </c>
      <c r="I47" s="23" t="n">
        <f aca="false">Inputs!B11*B47</f>
        <v>0</v>
      </c>
      <c r="J47" s="23" t="n">
        <f aca="false">IF(D47&gt;0,H47/D47,0)</f>
        <v>2809.66260548872</v>
      </c>
      <c r="K47" s="24" t="n">
        <f aca="false">IF(D47&gt;0,I47/D47/12,0)</f>
        <v>0</v>
      </c>
      <c r="L47" s="23" t="n">
        <f aca="false">(L46+J47)*(1+Inputs!B17)</f>
        <v>454055.221090656</v>
      </c>
      <c r="M47" s="23" t="n">
        <f aca="false">L47/E47</f>
        <v>454055.221090656</v>
      </c>
      <c r="N47" s="23" t="n">
        <f aca="false">N46+K47*12/E47</f>
        <v>0</v>
      </c>
    </row>
    <row r="48" customFormat="false" ht="15" hidden="false" customHeight="true" outlineLevel="0" collapsed="false">
      <c r="A48" s="18" t="n">
        <v>43</v>
      </c>
      <c r="B48" s="23" t="n">
        <f aca="false">B47+G47+H47+I47</f>
        <v>57595891553203.9</v>
      </c>
      <c r="C48" s="23" t="n">
        <f aca="false">C47*(1+Inputs!B14)*(1+Inputs!B16)</f>
        <v>71935913209103.5</v>
      </c>
      <c r="D48" s="22" t="n">
        <f aca="false">D47*(1+Inputs!B15)</f>
        <v>423805668.87278</v>
      </c>
      <c r="E48" s="21" t="n">
        <f aca="false">E47*(1+Inputs!B16)</f>
        <v>1</v>
      </c>
      <c r="F48" s="22" t="n">
        <f aca="false">MAX(0,D48*Inputs!B15)</f>
        <v>2119028.3443639</v>
      </c>
      <c r="G48" s="23" t="n">
        <f aca="false">Inputs!B9*(C48/D48)*F48</f>
        <v>8991989151.13794</v>
      </c>
      <c r="H48" s="23" t="n">
        <f aca="false">Inputs!B10*C48*Inputs!B14</f>
        <v>1208523341912.94</v>
      </c>
      <c r="I48" s="23" t="n">
        <f aca="false">Inputs!B11*B48</f>
        <v>0</v>
      </c>
      <c r="J48" s="23" t="n">
        <f aca="false">IF(D48&gt;0,H48/D48,0)</f>
        <v>2851.59786825721</v>
      </c>
      <c r="K48" s="24" t="n">
        <f aca="false">IF(D48&gt;0,I48/D48/12,0)</f>
        <v>0</v>
      </c>
      <c r="L48" s="23" t="n">
        <f aca="false">(L47+J48)*(1+Inputs!B17)</f>
        <v>486605.762191242</v>
      </c>
      <c r="M48" s="23" t="n">
        <f aca="false">L48/E48</f>
        <v>486605.762191242</v>
      </c>
      <c r="N48" s="23" t="n">
        <f aca="false">N47+K48*12/E48</f>
        <v>0</v>
      </c>
    </row>
    <row r="49" customFormat="false" ht="15" hidden="false" customHeight="true" outlineLevel="0" collapsed="false">
      <c r="A49" s="18" t="n">
        <v>44</v>
      </c>
      <c r="B49" s="23" t="n">
        <f aca="false">B48+G48+H48+I48</f>
        <v>58813406884268</v>
      </c>
      <c r="C49" s="23" t="n">
        <f aca="false">C48*(1+Inputs!B14)*(1+Inputs!B16)</f>
        <v>73374631473285.6</v>
      </c>
      <c r="D49" s="22" t="n">
        <f aca="false">D48*(1+Inputs!B15)</f>
        <v>425924697.217144</v>
      </c>
      <c r="E49" s="21" t="n">
        <f aca="false">E48*(1+Inputs!B16)</f>
        <v>1</v>
      </c>
      <c r="F49" s="22" t="n">
        <f aca="false">MAX(0,D49*Inputs!B15)</f>
        <v>2129623.48608572</v>
      </c>
      <c r="G49" s="23" t="n">
        <f aca="false">Inputs!B9*(C49/D49)*F49</f>
        <v>9171828934.1607</v>
      </c>
      <c r="H49" s="23" t="n">
        <f aca="false">Inputs!B10*C49*Inputs!B14</f>
        <v>1232693808751.2</v>
      </c>
      <c r="I49" s="23" t="n">
        <f aca="false">Inputs!B11*B49</f>
        <v>0</v>
      </c>
      <c r="J49" s="23" t="n">
        <f aca="false">IF(D49&gt;0,H49/D49,0)</f>
        <v>2894.15903047</v>
      </c>
      <c r="K49" s="24" t="n">
        <f aca="false">IF(D49&gt;0,I49/D49/12,0)</f>
        <v>0</v>
      </c>
      <c r="L49" s="23" t="n">
        <f aca="false">(L48+J49)*(1+Inputs!B17)</f>
        <v>521317.416101123</v>
      </c>
      <c r="M49" s="23" t="n">
        <f aca="false">L49/E49</f>
        <v>521317.416101123</v>
      </c>
      <c r="N49" s="23" t="n">
        <f aca="false">N48+K49*12/E49</f>
        <v>0</v>
      </c>
    </row>
    <row r="50" customFormat="false" ht="15" hidden="false" customHeight="true" outlineLevel="0" collapsed="false">
      <c r="A50" s="18" t="n">
        <v>45</v>
      </c>
      <c r="B50" s="23" t="n">
        <f aca="false">B49+G49+H49+I49</f>
        <v>60055272521953.3</v>
      </c>
      <c r="C50" s="23" t="n">
        <f aca="false">C49*(1+Inputs!B14)*(1+Inputs!B16)</f>
        <v>74842124102751.3</v>
      </c>
      <c r="D50" s="22" t="n">
        <f aca="false">D49*(1+Inputs!B15)</f>
        <v>428054320.703229</v>
      </c>
      <c r="E50" s="21" t="n">
        <f aca="false">E49*(1+Inputs!B16)</f>
        <v>1</v>
      </c>
      <c r="F50" s="22" t="n">
        <f aca="false">MAX(0,D50*Inputs!B15)</f>
        <v>2140271.60351615</v>
      </c>
      <c r="G50" s="23" t="n">
        <f aca="false">Inputs!B9*(C50/D50)*F50</f>
        <v>9355265512.84392</v>
      </c>
      <c r="H50" s="23" t="n">
        <f aca="false">Inputs!B10*C50*Inputs!B14</f>
        <v>1257347684926.22</v>
      </c>
      <c r="I50" s="23" t="n">
        <f aca="false">Inputs!B11*B50</f>
        <v>0</v>
      </c>
      <c r="J50" s="23" t="n">
        <f aca="false">IF(D50&gt;0,H50/D50,0)</f>
        <v>2937.35543390985</v>
      </c>
      <c r="K50" s="24" t="n">
        <f aca="false">IF(D50&gt;0,I50/D50/12,0)</f>
        <v>0</v>
      </c>
      <c r="L50" s="23" t="n">
        <f aca="false">(L49+J50)*(1+Inputs!B17)</f>
        <v>558331.33168481</v>
      </c>
      <c r="M50" s="23" t="n">
        <f aca="false">L50/E50</f>
        <v>558331.33168481</v>
      </c>
      <c r="N50" s="23" t="n">
        <f aca="false">N49+K50*12/E50</f>
        <v>0</v>
      </c>
    </row>
    <row r="51" customFormat="false" ht="15" hidden="false" customHeight="true" outlineLevel="0" collapsed="false">
      <c r="A51" s="18" t="n">
        <v>46</v>
      </c>
      <c r="B51" s="23" t="n">
        <f aca="false">B50+G50+H50+I50</f>
        <v>61321975472392.4</v>
      </c>
      <c r="C51" s="23" t="n">
        <f aca="false">C50*(1+Inputs!B14)*(1+Inputs!B16)</f>
        <v>76338966584806.4</v>
      </c>
      <c r="D51" s="22" t="n">
        <f aca="false">D50*(1+Inputs!B15)</f>
        <v>430194592.306745</v>
      </c>
      <c r="E51" s="21" t="n">
        <f aca="false">E50*(1+Inputs!B16)</f>
        <v>1</v>
      </c>
      <c r="F51" s="22" t="n">
        <f aca="false">MAX(0,D51*Inputs!B15)</f>
        <v>2150972.96153373</v>
      </c>
      <c r="G51" s="23" t="n">
        <f aca="false">Inputs!B9*(C51/D51)*F51</f>
        <v>9542370823.1008</v>
      </c>
      <c r="H51" s="23" t="n">
        <f aca="false">Inputs!B10*C51*Inputs!B14</f>
        <v>1282494638624.75</v>
      </c>
      <c r="I51" s="23" t="n">
        <f aca="false">Inputs!B11*B51</f>
        <v>0</v>
      </c>
      <c r="J51" s="23" t="n">
        <f aca="false">IF(D51&gt;0,H51/D51,0)</f>
        <v>2981.19655978911</v>
      </c>
      <c r="K51" s="24" t="n">
        <f aca="false">IF(D51&gt;0,I51/D51/12,0)</f>
        <v>0</v>
      </c>
      <c r="L51" s="23" t="n">
        <f aca="false">(L50+J51)*(1+Inputs!B17)</f>
        <v>597797.842580498</v>
      </c>
      <c r="M51" s="23" t="n">
        <f aca="false">L51/E51</f>
        <v>597797.842580498</v>
      </c>
      <c r="N51" s="23" t="n">
        <f aca="false">N50+K51*12/E51</f>
        <v>0</v>
      </c>
    </row>
    <row r="52" customFormat="false" ht="15" hidden="false" customHeight="true" outlineLevel="0" collapsed="false">
      <c r="A52" s="18" t="n">
        <v>47</v>
      </c>
      <c r="B52" s="23" t="n">
        <f aca="false">B51+G51+H51+I51</f>
        <v>62614012481840.2</v>
      </c>
      <c r="C52" s="23" t="n">
        <f aca="false">C51*(1+Inputs!B14)*(1+Inputs!B16)</f>
        <v>77865745916502.5</v>
      </c>
      <c r="D52" s="22" t="n">
        <f aca="false">D51*(1+Inputs!B15)</f>
        <v>432345565.268279</v>
      </c>
      <c r="E52" s="21" t="n">
        <f aca="false">E51*(1+Inputs!B16)</f>
        <v>1</v>
      </c>
      <c r="F52" s="22" t="n">
        <f aca="false">MAX(0,D52*Inputs!B15)</f>
        <v>2161727.8263414</v>
      </c>
      <c r="G52" s="23" t="n">
        <f aca="false">Inputs!B9*(C52/D52)*F52</f>
        <v>9733218239.56281</v>
      </c>
      <c r="H52" s="23" t="n">
        <f aca="false">Inputs!B10*C52*Inputs!B14</f>
        <v>1308144531397.24</v>
      </c>
      <c r="I52" s="23" t="n">
        <f aca="false">Inputs!B11*B52</f>
        <v>0</v>
      </c>
      <c r="J52" s="23" t="n">
        <f aca="false">IF(D52&gt;0,H52/D52,0)</f>
        <v>3025.69203083074</v>
      </c>
      <c r="K52" s="24" t="n">
        <f aca="false">IF(D52&gt;0,I52/D52/12,0)</f>
        <v>0</v>
      </c>
      <c r="L52" s="23" t="n">
        <f aca="false">(L51+J52)*(1+Inputs!B17)</f>
        <v>639877.064361066</v>
      </c>
      <c r="M52" s="23" t="n">
        <f aca="false">L52/E52</f>
        <v>639877.064361066</v>
      </c>
      <c r="N52" s="23" t="n">
        <f aca="false">N51+K52*12/E52</f>
        <v>0</v>
      </c>
    </row>
    <row r="53" customFormat="false" ht="15" hidden="false" customHeight="true" outlineLevel="0" collapsed="false">
      <c r="A53" s="18" t="n">
        <v>48</v>
      </c>
      <c r="B53" s="23" t="n">
        <f aca="false">B52+G52+H52+I52</f>
        <v>63931890231477</v>
      </c>
      <c r="C53" s="23" t="n">
        <f aca="false">C52*(1+Inputs!B14)*(1+Inputs!B16)</f>
        <v>79423060834832.5</v>
      </c>
      <c r="D53" s="22" t="n">
        <f aca="false">D52*(1+Inputs!B15)</f>
        <v>434507293.09462</v>
      </c>
      <c r="E53" s="21" t="n">
        <f aca="false">E52*(1+Inputs!B16)</f>
        <v>1</v>
      </c>
      <c r="F53" s="22" t="n">
        <f aca="false">MAX(0,D53*Inputs!B15)</f>
        <v>2172536.4654731</v>
      </c>
      <c r="G53" s="23" t="n">
        <f aca="false">Inputs!B9*(C53/D53)*F53</f>
        <v>9927882604.35407</v>
      </c>
      <c r="H53" s="23" t="n">
        <f aca="false">Inputs!B10*C53*Inputs!B14</f>
        <v>1334307422025.19</v>
      </c>
      <c r="I53" s="23" t="n">
        <f aca="false">Inputs!B11*B53</f>
        <v>0</v>
      </c>
      <c r="J53" s="23" t="n">
        <f aca="false">IF(D53&gt;0,H53/D53,0)</f>
        <v>3070.85161338045</v>
      </c>
      <c r="K53" s="24" t="n">
        <f aca="false">IF(D53&gt;0,I53/D53/12,0)</f>
        <v>0</v>
      </c>
      <c r="L53" s="23" t="n">
        <f aca="false">(L52+J53)*(1+Inputs!B17)</f>
        <v>684739.530512785</v>
      </c>
      <c r="M53" s="23" t="n">
        <f aca="false">L53/E53</f>
        <v>684739.530512785</v>
      </c>
      <c r="N53" s="23" t="n">
        <f aca="false">N52+K53*12/E53</f>
        <v>0</v>
      </c>
    </row>
    <row r="54" customFormat="false" ht="15" hidden="false" customHeight="true" outlineLevel="0" collapsed="false">
      <c r="A54" s="18" t="n">
        <v>49</v>
      </c>
      <c r="B54" s="23" t="n">
        <f aca="false">B53+G53+H53+I53</f>
        <v>65276125536106.6</v>
      </c>
      <c r="C54" s="23" t="n">
        <f aca="false">C53*(1+Inputs!B14)*(1+Inputs!B16)</f>
        <v>81011522051529.2</v>
      </c>
      <c r="D54" s="22" t="n">
        <f aca="false">D53*(1+Inputs!B15)</f>
        <v>436679829.560094</v>
      </c>
      <c r="E54" s="21" t="n">
        <f aca="false">E53*(1+Inputs!B16)</f>
        <v>1</v>
      </c>
      <c r="F54" s="22" t="n">
        <f aca="false">MAX(0,D54*Inputs!B15)</f>
        <v>2183399.14780047</v>
      </c>
      <c r="G54" s="23" t="n">
        <f aca="false">Inputs!B9*(C54/D54)*F54</f>
        <v>10126440256.4411</v>
      </c>
      <c r="H54" s="23" t="n">
        <f aca="false">Inputs!B10*C54*Inputs!B14</f>
        <v>1360993570465.69</v>
      </c>
      <c r="I54" s="23" t="n">
        <f aca="false">Inputs!B11*B54</f>
        <v>0</v>
      </c>
      <c r="J54" s="23" t="n">
        <f aca="false">IF(D54&gt;0,H54/D54,0)</f>
        <v>3116.68521955031</v>
      </c>
      <c r="K54" s="24" t="n">
        <f aca="false">IF(D54&gt;0,I54/D54/12,0)</f>
        <v>0</v>
      </c>
      <c r="L54" s="23" t="n">
        <f aca="false">(L53+J54)*(1+Inputs!B17)</f>
        <v>732566.869754937</v>
      </c>
      <c r="M54" s="23" t="n">
        <f aca="false">L54/E54</f>
        <v>732566.869754937</v>
      </c>
      <c r="N54" s="23" t="n">
        <f aca="false">N53+K54*12/E54</f>
        <v>0</v>
      </c>
    </row>
    <row r="55" customFormat="false" ht="15" hidden="false" customHeight="true" outlineLevel="0" collapsed="false">
      <c r="A55" s="18" t="n">
        <v>50</v>
      </c>
      <c r="B55" s="23" t="n">
        <f aca="false">B54+G54+H54+I54</f>
        <v>66647245546828.7</v>
      </c>
      <c r="C55" s="23" t="n">
        <f aca="false">C54*(1+Inputs!B14)*(1+Inputs!B16)</f>
        <v>82631752492559.8</v>
      </c>
      <c r="D55" s="22" t="n">
        <f aca="false">D54*(1+Inputs!B15)</f>
        <v>438863228.707894</v>
      </c>
      <c r="E55" s="21" t="n">
        <f aca="false">E54*(1+Inputs!B16)</f>
        <v>1</v>
      </c>
      <c r="F55" s="22" t="n">
        <f aca="false">MAX(0,D55*Inputs!B15)</f>
        <v>2194316.14353947</v>
      </c>
      <c r="G55" s="23" t="n">
        <f aca="false">Inputs!B9*(C55/D55)*F55</f>
        <v>10328969061.57</v>
      </c>
      <c r="H55" s="23" t="n">
        <f aca="false">Inputs!B10*C55*Inputs!B14</f>
        <v>1388213441875</v>
      </c>
      <c r="I55" s="23" t="n">
        <f aca="false">Inputs!B11*B55</f>
        <v>0</v>
      </c>
      <c r="J55" s="23" t="n">
        <f aca="false">IF(D55&gt;0,H55/D55,0)</f>
        <v>3163.20290939434</v>
      </c>
      <c r="K55" s="24" t="n">
        <f aca="false">IF(D55&gt;0,I55/D55/12,0)</f>
        <v>0</v>
      </c>
      <c r="L55" s="23" t="n">
        <f aca="false">(L54+J55)*(1+Inputs!B17)</f>
        <v>783552.527387513</v>
      </c>
      <c r="M55" s="23" t="n">
        <f aca="false">L55/E55</f>
        <v>783552.527387513</v>
      </c>
      <c r="N55" s="23" t="n">
        <f aca="false">N54+K55*12/E55</f>
        <v>0</v>
      </c>
    </row>
    <row r="56" customFormat="false" ht="15" hidden="false" customHeight="true" outlineLevel="0" collapsed="false">
      <c r="A56" s="18" t="n">
        <v>51</v>
      </c>
      <c r="B56" s="23" t="n">
        <f aca="false">B55+G55+H55+I55</f>
        <v>68045787957765.3</v>
      </c>
      <c r="C56" s="23" t="n">
        <f aca="false">C55*(1+Inputs!B14)*(1+Inputs!B16)</f>
        <v>84284387542411</v>
      </c>
      <c r="D56" s="22" t="n">
        <f aca="false">D55*(1+Inputs!B15)</f>
        <v>441057544.851433</v>
      </c>
      <c r="E56" s="21" t="n">
        <f aca="false">E55*(1+Inputs!B16)</f>
        <v>1</v>
      </c>
      <c r="F56" s="22" t="n">
        <f aca="false">MAX(0,D56*Inputs!B15)</f>
        <v>2205287.72425717</v>
      </c>
      <c r="G56" s="23" t="n">
        <f aca="false">Inputs!B9*(C56/D56)*F56</f>
        <v>10535548442.8014</v>
      </c>
      <c r="H56" s="23" t="n">
        <f aca="false">Inputs!B10*C56*Inputs!B14</f>
        <v>1415977710712.5</v>
      </c>
      <c r="I56" s="23" t="n">
        <f aca="false">Inputs!B11*B56</f>
        <v>0</v>
      </c>
      <c r="J56" s="23" t="n">
        <f aca="false">IF(D56&gt;0,H56/D56,0)</f>
        <v>3210.41489311665</v>
      </c>
      <c r="K56" s="24" t="n">
        <f aca="false">IF(D56&gt;0,I56/D56/12,0)</f>
        <v>0</v>
      </c>
      <c r="L56" s="23" t="n">
        <f aca="false">(L55+J56)*(1+Inputs!B17)</f>
        <v>837902.533528871</v>
      </c>
      <c r="M56" s="23" t="n">
        <f aca="false">L56/E56</f>
        <v>837902.533528871</v>
      </c>
      <c r="N56" s="23" t="n">
        <f aca="false">N55+K56*12/E56</f>
        <v>0</v>
      </c>
    </row>
    <row r="57" customFormat="false" ht="15" hidden="false" customHeight="true" outlineLevel="0" collapsed="false">
      <c r="A57" s="18" t="n">
        <v>52</v>
      </c>
      <c r="B57" s="23" t="n">
        <f aca="false">B56+G56+H56+I56</f>
        <v>69472301216920.6</v>
      </c>
      <c r="C57" s="23" t="n">
        <f aca="false">C56*(1+Inputs!B14)*(1+Inputs!B16)</f>
        <v>85970075293259.2</v>
      </c>
      <c r="D57" s="22" t="n">
        <f aca="false">D56*(1+Inputs!B15)</f>
        <v>443262832.575691</v>
      </c>
      <c r="E57" s="21" t="n">
        <f aca="false">E56*(1+Inputs!B16)</f>
        <v>1</v>
      </c>
      <c r="F57" s="22" t="n">
        <f aca="false">MAX(0,D57*Inputs!B15)</f>
        <v>2216314.16287845</v>
      </c>
      <c r="G57" s="23" t="n">
        <f aca="false">Inputs!B9*(C57/D57)*F57</f>
        <v>10746259411.6574</v>
      </c>
      <c r="H57" s="23" t="n">
        <f aca="false">Inputs!B10*C57*Inputs!B14</f>
        <v>1444297264926.75</v>
      </c>
      <c r="I57" s="23" t="n">
        <f aca="false">Inputs!B11*B57</f>
        <v>0</v>
      </c>
      <c r="J57" s="23" t="n">
        <f aca="false">IF(D57&gt;0,H57/D57,0)</f>
        <v>3258.33153331242</v>
      </c>
      <c r="K57" s="24" t="n">
        <f aca="false">IF(D57&gt;0,I57/D57/12,0)</f>
        <v>0</v>
      </c>
      <c r="L57" s="23" t="n">
        <f aca="false">(L56+J57)*(1+Inputs!B17)</f>
        <v>895836.321291225</v>
      </c>
      <c r="M57" s="23" t="n">
        <f aca="false">L57/E57</f>
        <v>895836.321291225</v>
      </c>
      <c r="N57" s="23" t="n">
        <f aca="false">N56+K57*12/E57</f>
        <v>0</v>
      </c>
    </row>
    <row r="58" customFormat="false" ht="15" hidden="false" customHeight="true" outlineLevel="0" collapsed="false">
      <c r="A58" s="18" t="n">
        <v>53</v>
      </c>
      <c r="B58" s="23" t="n">
        <f aca="false">B57+G57+H57+I57</f>
        <v>70927344741259</v>
      </c>
      <c r="C58" s="23" t="n">
        <f aca="false">C57*(1+Inputs!B14)*(1+Inputs!B16)</f>
        <v>87689476799124.4</v>
      </c>
      <c r="D58" s="22" t="n">
        <f aca="false">D57*(1+Inputs!B15)</f>
        <v>445479146.738569</v>
      </c>
      <c r="E58" s="21" t="n">
        <f aca="false">E57*(1+Inputs!B16)</f>
        <v>1</v>
      </c>
      <c r="F58" s="22" t="n">
        <f aca="false">MAX(0,D58*Inputs!B15)</f>
        <v>2227395.73369284</v>
      </c>
      <c r="G58" s="23" t="n">
        <f aca="false">Inputs!B9*(C58/D58)*F58</f>
        <v>10961184599.8905</v>
      </c>
      <c r="H58" s="23" t="n">
        <f aca="false">Inputs!B10*C58*Inputs!B14</f>
        <v>1473183210225.29</v>
      </c>
      <c r="I58" s="23" t="n">
        <f aca="false">Inputs!B11*B58</f>
        <v>0</v>
      </c>
      <c r="J58" s="23" t="n">
        <f aca="false">IF(D58&gt;0,H58/D58,0)</f>
        <v>3306.96334724245</v>
      </c>
      <c r="K58" s="24" t="n">
        <f aca="false">IF(D58&gt;0,I58/D58/12,0)</f>
        <v>0</v>
      </c>
      <c r="L58" s="23" t="n">
        <f aca="false">(L57+J58)*(1+Inputs!B17)</f>
        <v>957587.598139968</v>
      </c>
      <c r="M58" s="23" t="n">
        <f aca="false">L58/E58</f>
        <v>957587.598139968</v>
      </c>
      <c r="N58" s="23" t="n">
        <f aca="false">N57+K58*12/E58</f>
        <v>0</v>
      </c>
    </row>
    <row r="59" customFormat="false" ht="15" hidden="false" customHeight="true" outlineLevel="0" collapsed="false">
      <c r="A59" s="18" t="n">
        <v>54</v>
      </c>
      <c r="B59" s="23" t="n">
        <f aca="false">B58+G58+H58+I58</f>
        <v>72411489136084.2</v>
      </c>
      <c r="C59" s="23" t="n">
        <f aca="false">C58*(1+Inputs!B14)*(1+Inputs!B16)</f>
        <v>89443266335106.9</v>
      </c>
      <c r="D59" s="22" t="n">
        <f aca="false">D58*(1+Inputs!B15)</f>
        <v>447706542.472262</v>
      </c>
      <c r="E59" s="21" t="n">
        <f aca="false">E58*(1+Inputs!B16)</f>
        <v>1</v>
      </c>
      <c r="F59" s="22" t="n">
        <f aca="false">MAX(0,D59*Inputs!B15)</f>
        <v>2238532.71236131</v>
      </c>
      <c r="G59" s="23" t="n">
        <f aca="false">Inputs!B9*(C59/D59)*F59</f>
        <v>11180408291.8884</v>
      </c>
      <c r="H59" s="23" t="n">
        <f aca="false">Inputs!B10*C59*Inputs!B14</f>
        <v>1502646874429.8</v>
      </c>
      <c r="I59" s="23" t="n">
        <f aca="false">Inputs!B11*B59</f>
        <v>0</v>
      </c>
      <c r="J59" s="23" t="n">
        <f aca="false">IF(D59&gt;0,H59/D59,0)</f>
        <v>3356.32100914159</v>
      </c>
      <c r="K59" s="24" t="n">
        <f aca="false">IF(D59&gt;0,I59/D59/12,0)</f>
        <v>0</v>
      </c>
      <c r="L59" s="23" t="n">
        <f aca="false">(L58+J59)*(1+Inputs!B17)</f>
        <v>1023405.2738938</v>
      </c>
      <c r="M59" s="23" t="n">
        <f aca="false">L59/E59</f>
        <v>1023405.2738938</v>
      </c>
      <c r="N59" s="23" t="n">
        <f aca="false">N58+K59*12/E59</f>
        <v>0</v>
      </c>
    </row>
    <row r="60" customFormat="false" ht="15" hidden="false" customHeight="true" outlineLevel="0" collapsed="false">
      <c r="A60" s="18" t="n">
        <v>55</v>
      </c>
      <c r="B60" s="23" t="n">
        <f aca="false">B59+G59+H59+I59</f>
        <v>73925316418805.9</v>
      </c>
      <c r="C60" s="23" t="n">
        <f aca="false">C59*(1+Inputs!B14)*(1+Inputs!B16)</f>
        <v>91232131661809</v>
      </c>
      <c r="D60" s="22" t="n">
        <f aca="false">D59*(1+Inputs!B15)</f>
        <v>449945075.184623</v>
      </c>
      <c r="E60" s="21" t="n">
        <f aca="false">E59*(1+Inputs!B16)</f>
        <v>1</v>
      </c>
      <c r="F60" s="22" t="n">
        <f aca="false">MAX(0,D60*Inputs!B15)</f>
        <v>2249725.37592312</v>
      </c>
      <c r="G60" s="23" t="n">
        <f aca="false">Inputs!B9*(C60/D60)*F60</f>
        <v>11404016457.7261</v>
      </c>
      <c r="H60" s="23" t="n">
        <f aca="false">Inputs!B10*C60*Inputs!B14</f>
        <v>1532699811918.39</v>
      </c>
      <c r="I60" s="23" t="n">
        <f aca="false">Inputs!B11*B60</f>
        <v>0</v>
      </c>
      <c r="J60" s="23" t="n">
        <f aca="false">IF(D60&gt;0,H60/D60,0)</f>
        <v>3406.41535256162</v>
      </c>
      <c r="K60" s="24" t="n">
        <f aca="false">IF(D60&gt;0,I60/D60/12,0)</f>
        <v>0</v>
      </c>
      <c r="L60" s="23" t="n">
        <f aca="false">(L59+J60)*(1+Inputs!B17)</f>
        <v>1093554.44904738</v>
      </c>
      <c r="M60" s="23" t="n">
        <f aca="false">L60/E60</f>
        <v>1093554.44904738</v>
      </c>
      <c r="N60" s="23" t="n">
        <f aca="false">N59+K60*12/E60</f>
        <v>0</v>
      </c>
    </row>
    <row r="61" customFormat="false" ht="15" hidden="false" customHeight="true" outlineLevel="0" collapsed="false">
      <c r="A61" s="18" t="n">
        <v>56</v>
      </c>
      <c r="B61" s="23" t="n">
        <f aca="false">B60+G60+H60+I60</f>
        <v>75469420247182</v>
      </c>
      <c r="C61" s="23" t="n">
        <f aca="false">C60*(1+Inputs!B14)*(1+Inputs!B16)</f>
        <v>93056774295045.2</v>
      </c>
      <c r="D61" s="22" t="n">
        <f aca="false">D60*(1+Inputs!B15)</f>
        <v>452194800.560546</v>
      </c>
      <c r="E61" s="21" t="n">
        <f aca="false">E60*(1+Inputs!B16)</f>
        <v>1</v>
      </c>
      <c r="F61" s="22" t="n">
        <f aca="false">MAX(0,D61*Inputs!B15)</f>
        <v>2260974.00280273</v>
      </c>
      <c r="G61" s="23" t="n">
        <f aca="false">Inputs!B9*(C61/D61)*F61</f>
        <v>11632096786.8806</v>
      </c>
      <c r="H61" s="23" t="n">
        <f aca="false">Inputs!B10*C61*Inputs!B14</f>
        <v>1563353808156.76</v>
      </c>
      <c r="I61" s="23" t="n">
        <f aca="false">Inputs!B11*B61</f>
        <v>0</v>
      </c>
      <c r="J61" s="23" t="n">
        <f aca="false">IF(D61&gt;0,H61/D61,0)</f>
        <v>3457.25737274911</v>
      </c>
      <c r="K61" s="24" t="n">
        <f aca="false">IF(D61&gt;0,I61/D61/12,0)</f>
        <v>0</v>
      </c>
      <c r="L61" s="23" t="n">
        <f aca="false">(L60+J61)*(1+Inputs!B17)</f>
        <v>1168317.46733743</v>
      </c>
      <c r="M61" s="23" t="n">
        <f aca="false">L61/E61</f>
        <v>1168317.46733743</v>
      </c>
      <c r="N61" s="23" t="n">
        <f aca="false">N60+K61*12/E61</f>
        <v>0</v>
      </c>
    </row>
    <row r="62" customFormat="false" ht="15" hidden="false" customHeight="true" outlineLevel="0" collapsed="false">
      <c r="A62" s="18" t="n">
        <v>57</v>
      </c>
      <c r="B62" s="23" t="n">
        <f aca="false">B61+G61+H61+I61</f>
        <v>77044406152125.6</v>
      </c>
      <c r="C62" s="23" t="n">
        <f aca="false">C61*(1+Inputs!B14)*(1+Inputs!B16)</f>
        <v>94917909780946.1</v>
      </c>
      <c r="D62" s="22" t="n">
        <f aca="false">D61*(1+Inputs!B15)</f>
        <v>454455774.563349</v>
      </c>
      <c r="E62" s="21" t="n">
        <f aca="false">E61*(1+Inputs!B16)</f>
        <v>1</v>
      </c>
      <c r="F62" s="22" t="n">
        <f aca="false">MAX(0,D62*Inputs!B15)</f>
        <v>2272278.87281674</v>
      </c>
      <c r="G62" s="23" t="n">
        <f aca="false">Inputs!B9*(C62/D62)*F62</f>
        <v>11864738722.6183</v>
      </c>
      <c r="H62" s="23" t="n">
        <f aca="false">Inputs!B10*C62*Inputs!B14</f>
        <v>1594620884319.89</v>
      </c>
      <c r="I62" s="23" t="n">
        <f aca="false">Inputs!B11*B62</f>
        <v>0</v>
      </c>
      <c r="J62" s="23" t="n">
        <f aca="false">IF(D62&gt;0,H62/D62,0)</f>
        <v>3508.85822905879</v>
      </c>
      <c r="K62" s="24" t="n">
        <f aca="false">IF(D62&gt;0,I62/D62/12,0)</f>
        <v>0</v>
      </c>
      <c r="L62" s="23" t="n">
        <f aca="false">(L61+J62)*(1+Inputs!B17)</f>
        <v>1247995.03672831</v>
      </c>
      <c r="M62" s="23" t="n">
        <f aca="false">L62/E62</f>
        <v>1247995.03672831</v>
      </c>
      <c r="N62" s="23" t="n">
        <f aca="false">N61+K62*12/E62</f>
        <v>0</v>
      </c>
    </row>
    <row r="63" customFormat="false" ht="15" hidden="false" customHeight="true" outlineLevel="0" collapsed="false">
      <c r="A63" s="18" t="n">
        <v>58</v>
      </c>
      <c r="B63" s="23" t="n">
        <f aca="false">B62+G62+H62+I62</f>
        <v>78650891775168.1</v>
      </c>
      <c r="C63" s="23" t="n">
        <f aca="false">C62*(1+Inputs!B14)*(1+Inputs!B16)</f>
        <v>96816267976565</v>
      </c>
      <c r="D63" s="22" t="n">
        <f aca="false">D62*(1+Inputs!B15)</f>
        <v>456728053.436165</v>
      </c>
      <c r="E63" s="21" t="n">
        <f aca="false">E62*(1+Inputs!B16)</f>
        <v>1</v>
      </c>
      <c r="F63" s="22" t="n">
        <f aca="false">MAX(0,D63*Inputs!B15)</f>
        <v>2283640.26718083</v>
      </c>
      <c r="G63" s="23" t="n">
        <f aca="false">Inputs!B9*(C63/D63)*F63</f>
        <v>12102033497.0706</v>
      </c>
      <c r="H63" s="23" t="n">
        <f aca="false">Inputs!B10*C63*Inputs!B14</f>
        <v>1626513302006.29</v>
      </c>
      <c r="I63" s="23" t="n">
        <f aca="false">Inputs!B11*B63</f>
        <v>0</v>
      </c>
      <c r="J63" s="23" t="n">
        <f aca="false">IF(D63&gt;0,H63/D63,0)</f>
        <v>3561.22924740296</v>
      </c>
      <c r="K63" s="24" t="n">
        <f aca="false">IF(D63&gt;0,I63/D63/12,0)</f>
        <v>0</v>
      </c>
      <c r="L63" s="23" t="n">
        <f aca="false">(L62+J63)*(1+Inputs!B17)</f>
        <v>1332907.42326414</v>
      </c>
      <c r="M63" s="23" t="n">
        <f aca="false">L63/E63</f>
        <v>1332907.42326414</v>
      </c>
      <c r="N63" s="23" t="n">
        <f aca="false">N62+K63*12/E63</f>
        <v>0</v>
      </c>
    </row>
    <row r="64" customFormat="false" ht="15" hidden="false" customHeight="true" outlineLevel="0" collapsed="false">
      <c r="A64" s="18" t="n">
        <v>59</v>
      </c>
      <c r="B64" s="23" t="n">
        <f aca="false">B63+G63+H63+I63</f>
        <v>80289507110671.5</v>
      </c>
      <c r="C64" s="23" t="n">
        <f aca="false">C63*(1+Inputs!B14)*(1+Inputs!B16)</f>
        <v>98752593336096.3</v>
      </c>
      <c r="D64" s="22" t="n">
        <f aca="false">D63*(1+Inputs!B15)</f>
        <v>459011693.703346</v>
      </c>
      <c r="E64" s="21" t="n">
        <f aca="false">E63*(1+Inputs!B16)</f>
        <v>1</v>
      </c>
      <c r="F64" s="22" t="n">
        <f aca="false">MAX(0,D64*Inputs!B15)</f>
        <v>2295058.46851673</v>
      </c>
      <c r="G64" s="23" t="n">
        <f aca="false">Inputs!B9*(C64/D64)*F64</f>
        <v>12344074167.012</v>
      </c>
      <c r="H64" s="23" t="n">
        <f aca="false">Inputs!B10*C64*Inputs!B14</f>
        <v>1659043568046.42</v>
      </c>
      <c r="I64" s="23" t="n">
        <f aca="false">Inputs!B11*B64</f>
        <v>0</v>
      </c>
      <c r="J64" s="23" t="n">
        <f aca="false">IF(D64&gt;0,H64/D64,0)</f>
        <v>3614.38192273733</v>
      </c>
      <c r="K64" s="24" t="n">
        <f aca="false">IF(D64&gt;0,I64/D64/12,0)</f>
        <v>0</v>
      </c>
      <c r="L64" s="23" t="n">
        <f aca="false">(L63+J64)*(1+Inputs!B17)</f>
        <v>1423395.72252402</v>
      </c>
      <c r="M64" s="23" t="n">
        <f aca="false">L64/E64</f>
        <v>1423395.72252402</v>
      </c>
      <c r="N64" s="23" t="n">
        <f aca="false">N63+K64*12/E64</f>
        <v>0</v>
      </c>
    </row>
    <row r="65" customFormat="false" ht="15" hidden="false" customHeight="true" outlineLevel="0" collapsed="false">
      <c r="A65" s="18" t="n">
        <v>60</v>
      </c>
      <c r="B65" s="23" t="n">
        <f aca="false">B64+G64+H64+I64</f>
        <v>81960894752885</v>
      </c>
      <c r="C65" s="23" t="n">
        <f aca="false">C64*(1+Inputs!B14)*(1+Inputs!B16)</f>
        <v>100727645202818</v>
      </c>
      <c r="D65" s="22" t="n">
        <f aca="false">D64*(1+Inputs!B15)</f>
        <v>461306752.171863</v>
      </c>
      <c r="E65" s="21" t="n">
        <f aca="false">E64*(1+Inputs!B16)</f>
        <v>1</v>
      </c>
      <c r="F65" s="22" t="n">
        <f aca="false">MAX(0,D65*Inputs!B15)</f>
        <v>2306533.76085931</v>
      </c>
      <c r="G65" s="23" t="n">
        <f aca="false">Inputs!B9*(C65/D65)*F65</f>
        <v>12590955650.3523</v>
      </c>
      <c r="H65" s="23" t="n">
        <f aca="false">Inputs!B10*C65*Inputs!B14</f>
        <v>1692224439407.35</v>
      </c>
      <c r="I65" s="23" t="n">
        <f aca="false">Inputs!B11*B65</f>
        <v>0</v>
      </c>
      <c r="J65" s="23" t="n">
        <f aca="false">IF(D65&gt;0,H65/D65,0)</f>
        <v>3668.32792158415</v>
      </c>
      <c r="K65" s="24" t="n">
        <f aca="false">IF(D65&gt;0,I65/D65/12,0)</f>
        <v>0</v>
      </c>
      <c r="L65" s="23" t="n">
        <f aca="false">(L64+J65)*(1+Inputs!B17)</f>
        <v>1519823.21372457</v>
      </c>
      <c r="M65" s="23" t="n">
        <f aca="false">L65/E65</f>
        <v>1519823.21372457</v>
      </c>
      <c r="N65" s="23" t="n">
        <f aca="false">N64+K65*12/E65</f>
        <v>0</v>
      </c>
    </row>
    <row r="66" customFormat="false" ht="15" hidden="false" customHeight="true" outlineLevel="0" collapsed="false">
      <c r="A66" s="18" t="n">
        <v>61</v>
      </c>
      <c r="B66" s="23" t="n">
        <f aca="false">B65+G65+H65+I65</f>
        <v>83665710147942.7</v>
      </c>
      <c r="C66" s="23" t="n">
        <f aca="false">C65*(1+Inputs!B14)*(1+Inputs!B16)</f>
        <v>102742198106875</v>
      </c>
      <c r="D66" s="22" t="n">
        <f aca="false">D65*(1+Inputs!B15)</f>
        <v>463613285.932722</v>
      </c>
      <c r="E66" s="21" t="n">
        <f aca="false">E65*(1+Inputs!B16)</f>
        <v>1</v>
      </c>
      <c r="F66" s="22" t="n">
        <f aca="false">MAX(0,D66*Inputs!B15)</f>
        <v>2318066.42966361</v>
      </c>
      <c r="G66" s="23" t="n">
        <f aca="false">Inputs!B9*(C66/D66)*F66</f>
        <v>12842774763.3593</v>
      </c>
      <c r="H66" s="23" t="n">
        <f aca="false">Inputs!B10*C66*Inputs!B14</f>
        <v>1726068928195.49</v>
      </c>
      <c r="I66" s="23" t="n">
        <f aca="false">Inputs!B11*B66</f>
        <v>0</v>
      </c>
      <c r="J66" s="23" t="n">
        <f aca="false">IF(D66&gt;0,H66/D66,0)</f>
        <v>3723.07908459287</v>
      </c>
      <c r="K66" s="24" t="n">
        <f aca="false">IF(D66&gt;0,I66/D66/12,0)</f>
        <v>0</v>
      </c>
      <c r="L66" s="23" t="n">
        <f aca="false">(L65+J66)*(1+Inputs!B17)</f>
        <v>1622576.80184176</v>
      </c>
      <c r="M66" s="23" t="n">
        <f aca="false">L66/E66</f>
        <v>1622576.80184176</v>
      </c>
      <c r="N66" s="23" t="n">
        <f aca="false">N65+K66*12/E66</f>
        <v>0</v>
      </c>
    </row>
    <row r="67" customFormat="false" ht="15" hidden="false" customHeight="true" outlineLevel="0" collapsed="false">
      <c r="A67" s="18" t="n">
        <v>62</v>
      </c>
      <c r="B67" s="23" t="n">
        <f aca="false">B66+G66+H66+I66</f>
        <v>85404621850901.5</v>
      </c>
      <c r="C67" s="23" t="n">
        <f aca="false">C66*(1+Inputs!B14)*(1+Inputs!B16)</f>
        <v>104797042069012</v>
      </c>
      <c r="D67" s="22" t="n">
        <f aca="false">D66*(1+Inputs!B15)</f>
        <v>465931352.362386</v>
      </c>
      <c r="E67" s="21" t="n">
        <f aca="false">E66*(1+Inputs!B16)</f>
        <v>1</v>
      </c>
      <c r="F67" s="22" t="n">
        <f aca="false">MAX(0,D67*Inputs!B15)</f>
        <v>2329656.76181193</v>
      </c>
      <c r="G67" s="23" t="n">
        <f aca="false">Inputs!B9*(C67/D67)*F67</f>
        <v>13099630258.6265</v>
      </c>
      <c r="H67" s="23" t="n">
        <f aca="false">Inputs!B10*C67*Inputs!B14</f>
        <v>1760590306759.4</v>
      </c>
      <c r="I67" s="23" t="n">
        <f aca="false">Inputs!B11*B67</f>
        <v>0</v>
      </c>
      <c r="J67" s="23" t="n">
        <f aca="false">IF(D67&gt;0,H67/D67,0)</f>
        <v>3778.64742913904</v>
      </c>
      <c r="K67" s="24" t="n">
        <f aca="false">IF(D67&gt;0,I67/D67/12,0)</f>
        <v>0</v>
      </c>
      <c r="L67" s="23" t="n">
        <f aca="false">(L66+J67)*(1+Inputs!B17)</f>
        <v>1732068.55347351</v>
      </c>
      <c r="M67" s="23" t="n">
        <f aca="false">L67/E67</f>
        <v>1732068.55347351</v>
      </c>
      <c r="N67" s="23" t="n">
        <f aca="false">N66+K67*12/E67</f>
        <v>0</v>
      </c>
    </row>
    <row r="68" customFormat="false" ht="15" hidden="false" customHeight="true" outlineLevel="0" collapsed="false">
      <c r="A68" s="18" t="n">
        <v>63</v>
      </c>
      <c r="B68" s="23" t="n">
        <f aca="false">B67+G67+H67+I67</f>
        <v>87178311787919.6</v>
      </c>
      <c r="C68" s="23" t="n">
        <f aca="false">C67*(1+Inputs!B14)*(1+Inputs!B16)</f>
        <v>106892982910392</v>
      </c>
      <c r="D68" s="22" t="n">
        <f aca="false">D67*(1+Inputs!B15)</f>
        <v>468261009.124198</v>
      </c>
      <c r="E68" s="21" t="n">
        <f aca="false">E67*(1+Inputs!B16)</f>
        <v>1</v>
      </c>
      <c r="F68" s="22" t="n">
        <f aca="false">MAX(0,D68*Inputs!B15)</f>
        <v>2341305.04562099</v>
      </c>
      <c r="G68" s="23" t="n">
        <f aca="false">Inputs!B9*(C68/D68)*F68</f>
        <v>13361622863.799</v>
      </c>
      <c r="H68" s="23" t="n">
        <f aca="false">Inputs!B10*C68*Inputs!B14</f>
        <v>1795802112894.59</v>
      </c>
      <c r="I68" s="23" t="n">
        <f aca="false">Inputs!B11*B68</f>
        <v>0</v>
      </c>
      <c r="J68" s="23" t="n">
        <f aca="false">IF(D68&gt;0,H68/D68,0)</f>
        <v>3835.04515196201</v>
      </c>
      <c r="K68" s="24" t="n">
        <f aca="false">IF(D68&gt;0,I68/D68/12,0)</f>
        <v>0</v>
      </c>
      <c r="L68" s="23" t="n">
        <f aca="false">(L67+J68)*(1+Inputs!B17)</f>
        <v>1848737.33253612</v>
      </c>
      <c r="M68" s="23" t="n">
        <f aca="false">L68/E68</f>
        <v>1848737.33253612</v>
      </c>
      <c r="N68" s="23" t="n">
        <f aca="false">N67+K68*12/E68</f>
        <v>0</v>
      </c>
    </row>
    <row r="69" customFormat="false" ht="15" hidden="false" customHeight="true" outlineLevel="0" collapsed="false">
      <c r="A69" s="18" t="n">
        <v>64</v>
      </c>
      <c r="B69" s="23" t="n">
        <f aca="false">B68+G68+H68+I68</f>
        <v>88987475523677.9</v>
      </c>
      <c r="C69" s="23" t="n">
        <f aca="false">C68*(1+Inputs!B14)*(1+Inputs!B16)</f>
        <v>109030842568600</v>
      </c>
      <c r="D69" s="22" t="n">
        <f aca="false">D68*(1+Inputs!B15)</f>
        <v>470602314.169818</v>
      </c>
      <c r="E69" s="21" t="n">
        <f aca="false">E68*(1+Inputs!B16)</f>
        <v>1</v>
      </c>
      <c r="F69" s="22" t="n">
        <f aca="false">MAX(0,D69*Inputs!B15)</f>
        <v>2353011.57084909</v>
      </c>
      <c r="G69" s="23" t="n">
        <f aca="false">Inputs!B9*(C69/D69)*F69</f>
        <v>13628855321.075</v>
      </c>
      <c r="H69" s="23" t="n">
        <f aca="false">Inputs!B10*C69*Inputs!B14</f>
        <v>1831718155152.48</v>
      </c>
      <c r="I69" s="23" t="n">
        <f aca="false">Inputs!B11*B69</f>
        <v>0</v>
      </c>
      <c r="J69" s="23" t="n">
        <f aca="false">IF(D69&gt;0,H69/D69,0)</f>
        <v>3892.28463184204</v>
      </c>
      <c r="K69" s="24" t="n">
        <f aca="false">IF(D69&gt;0,I69/D69/12,0)</f>
        <v>0</v>
      </c>
      <c r="L69" s="23" t="n">
        <f aca="false">(L68+J69)*(1+Inputs!B17)</f>
        <v>1973050.54228388</v>
      </c>
      <c r="M69" s="23" t="n">
        <f aca="false">L69/E69</f>
        <v>1973050.54228388</v>
      </c>
      <c r="N69" s="23" t="n">
        <f aca="false">N68+K69*12/E69</f>
        <v>0</v>
      </c>
    </row>
    <row r="70" customFormat="false" ht="15" hidden="false" customHeight="true" outlineLevel="0" collapsed="false">
      <c r="A70" s="18" t="n">
        <v>65</v>
      </c>
      <c r="B70" s="23" t="n">
        <f aca="false">B69+G69+H69+I69</f>
        <v>90832822534151.5</v>
      </c>
      <c r="C70" s="23" t="n">
        <f aca="false">C69*(1+Inputs!B14)*(1+Inputs!B16)</f>
        <v>111211459419972</v>
      </c>
      <c r="D70" s="22" t="n">
        <f aca="false">D69*(1+Inputs!B15)</f>
        <v>472955325.740668</v>
      </c>
      <c r="E70" s="21" t="n">
        <f aca="false">E69*(1+Inputs!B16)</f>
        <v>1</v>
      </c>
      <c r="F70" s="22" t="n">
        <f aca="false">MAX(0,D70*Inputs!B15)</f>
        <v>2364776.62870334</v>
      </c>
      <c r="G70" s="23" t="n">
        <f aca="false">Inputs!B9*(C70/D70)*F70</f>
        <v>13901432427.4965</v>
      </c>
      <c r="H70" s="23" t="n">
        <f aca="false">Inputs!B10*C70*Inputs!B14</f>
        <v>1868352518255.53</v>
      </c>
      <c r="I70" s="23" t="n">
        <f aca="false">Inputs!B11*B70</f>
        <v>0</v>
      </c>
      <c r="J70" s="23" t="n">
        <f aca="false">IF(D70&gt;0,H70/D70,0)</f>
        <v>3950.37843231729</v>
      </c>
      <c r="K70" s="24" t="n">
        <f aca="false">IF(D70&gt;0,I70/D70/12,0)</f>
        <v>0</v>
      </c>
      <c r="L70" s="23" t="n">
        <f aca="false">(L69+J70)*(1+Inputs!B17)</f>
        <v>2105505.98056276</v>
      </c>
      <c r="M70" s="23" t="n">
        <f aca="false">L70/E70</f>
        <v>2105505.98056276</v>
      </c>
      <c r="N70" s="23" t="n">
        <f aca="false">N69+K70*12/E70</f>
        <v>0</v>
      </c>
    </row>
    <row r="71" customFormat="false" ht="15" hidden="false" customHeight="true" outlineLevel="0" collapsed="false">
      <c r="A71" s="18" t="n">
        <v>66</v>
      </c>
      <c r="B71" s="23" t="n">
        <f aca="false">B70+G70+H70+I70</f>
        <v>92715076484834.5</v>
      </c>
      <c r="C71" s="23" t="n">
        <f aca="false">C70*(1+Inputs!B14)*(1+Inputs!B16)</f>
        <v>113435688608372</v>
      </c>
      <c r="D71" s="22" t="n">
        <f aca="false">D70*(1+Inputs!B15)</f>
        <v>475320102.369371</v>
      </c>
      <c r="E71" s="21" t="n">
        <f aca="false">E70*(1+Inputs!B16)</f>
        <v>1</v>
      </c>
      <c r="F71" s="22" t="n">
        <f aca="false">MAX(0,D71*Inputs!B15)</f>
        <v>2376600.51184685</v>
      </c>
      <c r="G71" s="23" t="n">
        <f aca="false">Inputs!B9*(C71/D71)*F71</f>
        <v>14179461076.0465</v>
      </c>
      <c r="H71" s="23" t="n">
        <f aca="false">Inputs!B10*C71*Inputs!B14</f>
        <v>1905719568620.64</v>
      </c>
      <c r="I71" s="23" t="n">
        <f aca="false">Inputs!B11*B71</f>
        <v>0</v>
      </c>
      <c r="J71" s="23" t="n">
        <f aca="false">IF(D71&gt;0,H71/D71,0)</f>
        <v>4009.33930444143</v>
      </c>
      <c r="K71" s="24" t="n">
        <f aca="false">IF(D71&gt;0,I71/D71/12,0)</f>
        <v>0</v>
      </c>
      <c r="L71" s="23" t="n">
        <f aca="false">(L70+J71)*(1+Inputs!B17)</f>
        <v>2246633.81565856</v>
      </c>
      <c r="M71" s="23" t="n">
        <f aca="false">L71/E71</f>
        <v>2246633.81565856</v>
      </c>
      <c r="N71" s="23" t="n">
        <f aca="false">N70+K71*12/E71</f>
        <v>0</v>
      </c>
    </row>
    <row r="72" customFormat="false" ht="15" hidden="false" customHeight="true" outlineLevel="0" collapsed="false">
      <c r="A72" s="18" t="n">
        <v>67</v>
      </c>
      <c r="B72" s="23" t="n">
        <f aca="false">B71+G71+H71+I71</f>
        <v>94634975514531.2</v>
      </c>
      <c r="C72" s="23" t="n">
        <f aca="false">C71*(1+Inputs!B14)*(1+Inputs!B16)</f>
        <v>115704402380539</v>
      </c>
      <c r="D72" s="22" t="n">
        <f aca="false">D71*(1+Inputs!B15)</f>
        <v>477696702.881218</v>
      </c>
      <c r="E72" s="21" t="n">
        <f aca="false">E71*(1+Inputs!B16)</f>
        <v>1</v>
      </c>
      <c r="F72" s="22" t="n">
        <f aca="false">MAX(0,D72*Inputs!B15)</f>
        <v>2388483.51440609</v>
      </c>
      <c r="G72" s="23" t="n">
        <f aca="false">Inputs!B9*(C72/D72)*F72</f>
        <v>14463050297.5674</v>
      </c>
      <c r="H72" s="23" t="n">
        <f aca="false">Inputs!B10*C72*Inputs!B14</f>
        <v>1943833959993.06</v>
      </c>
      <c r="I72" s="23" t="n">
        <f aca="false">Inputs!B11*B72</f>
        <v>0</v>
      </c>
      <c r="J72" s="23" t="n">
        <f aca="false">IF(D72&gt;0,H72/D72,0)</f>
        <v>4069.18018958235</v>
      </c>
      <c r="K72" s="24" t="n">
        <f aca="false">IF(D72&gt;0,I72/D72/12,0)</f>
        <v>0</v>
      </c>
      <c r="L72" s="23" t="n">
        <f aca="false">(L71+J72)*(1+Inputs!B17)</f>
        <v>2396998.69057828</v>
      </c>
      <c r="M72" s="23" t="n">
        <f aca="false">L72/E72</f>
        <v>2396998.69057828</v>
      </c>
      <c r="N72" s="23" t="n">
        <f aca="false">N71+K72*12/E72</f>
        <v>0</v>
      </c>
    </row>
    <row r="73" customFormat="false" ht="15" hidden="false" customHeight="true" outlineLevel="0" collapsed="false">
      <c r="A73" s="18" t="n">
        <v>68</v>
      </c>
      <c r="B73" s="23" t="n">
        <f aca="false">B72+G72+H72+I72</f>
        <v>96593272524821.8</v>
      </c>
      <c r="C73" s="23" t="n">
        <f aca="false">C72*(1+Inputs!B14)*(1+Inputs!B16)</f>
        <v>118018490428150</v>
      </c>
      <c r="D73" s="22" t="n">
        <f aca="false">D72*(1+Inputs!B15)</f>
        <v>480085186.395624</v>
      </c>
      <c r="E73" s="21" t="n">
        <f aca="false">E72*(1+Inputs!B16)</f>
        <v>1</v>
      </c>
      <c r="F73" s="22" t="n">
        <f aca="false">MAX(0,D73*Inputs!B15)</f>
        <v>2400425.93197812</v>
      </c>
      <c r="G73" s="23" t="n">
        <f aca="false">Inputs!B9*(C73/D73)*F73</f>
        <v>14752311303.5187</v>
      </c>
      <c r="H73" s="23" t="n">
        <f aca="false">Inputs!B10*C73*Inputs!B14</f>
        <v>1982710639192.92</v>
      </c>
      <c r="I73" s="23" t="n">
        <f aca="false">Inputs!B11*B73</f>
        <v>0</v>
      </c>
      <c r="J73" s="23" t="n">
        <f aca="false">IF(D73&gt;0,H73/D73,0)</f>
        <v>4129.91422226268</v>
      </c>
      <c r="K73" s="24" t="n">
        <f aca="false">IF(D73&gt;0,I73/D73/12,0)</f>
        <v>0</v>
      </c>
      <c r="L73" s="23" t="n">
        <f aca="false">(L72+J73)*(1+Inputs!B17)</f>
        <v>2557201.96411257</v>
      </c>
      <c r="M73" s="23" t="n">
        <f aca="false">L73/E73</f>
        <v>2557201.96411257</v>
      </c>
      <c r="N73" s="23" t="n">
        <f aca="false">N72+K73*12/E73</f>
        <v>0</v>
      </c>
    </row>
    <row r="74" customFormat="false" ht="15" hidden="false" customHeight="true" outlineLevel="0" collapsed="false">
      <c r="A74" s="18" t="n">
        <v>69</v>
      </c>
      <c r="B74" s="23" t="n">
        <f aca="false">B73+G73+H73+I73</f>
        <v>98590735475318.3</v>
      </c>
      <c r="C74" s="23" t="n">
        <f aca="false">C73*(1+Inputs!B14)*(1+Inputs!B16)</f>
        <v>120378860236713</v>
      </c>
      <c r="D74" s="22" t="n">
        <f aca="false">D73*(1+Inputs!B15)</f>
        <v>482485612.327602</v>
      </c>
      <c r="E74" s="21" t="n">
        <f aca="false">E73*(1+Inputs!B16)</f>
        <v>1</v>
      </c>
      <c r="F74" s="22" t="n">
        <f aca="false">MAX(0,D74*Inputs!B15)</f>
        <v>2412428.06163801</v>
      </c>
      <c r="G74" s="23" t="n">
        <f aca="false">Inputs!B9*(C74/D74)*F74</f>
        <v>15047357529.5891</v>
      </c>
      <c r="H74" s="23" t="n">
        <f aca="false">Inputs!B10*C74*Inputs!B14</f>
        <v>2022364851976.78</v>
      </c>
      <c r="I74" s="23" t="n">
        <f aca="false">Inputs!B11*B74</f>
        <v>0</v>
      </c>
      <c r="J74" s="23" t="n">
        <f aca="false">IF(D74&gt;0,H74/D74,0)</f>
        <v>4191.55473304272</v>
      </c>
      <c r="K74" s="24" t="n">
        <f aca="false">IF(D74&gt;0,I74/D74/12,0)</f>
        <v>0</v>
      </c>
      <c r="L74" s="23" t="n">
        <f aca="false">(L73+J74)*(1+Inputs!B17)</f>
        <v>2727884.09757058</v>
      </c>
      <c r="M74" s="23" t="n">
        <f aca="false">L74/E74</f>
        <v>2727884.09757058</v>
      </c>
      <c r="N74" s="23" t="n">
        <f aca="false">N73+K74*12/E74</f>
        <v>0</v>
      </c>
    </row>
    <row r="75" customFormat="false" ht="15" hidden="false" customHeight="true" outlineLevel="0" collapsed="false">
      <c r="A75" s="18" t="n">
        <v>70</v>
      </c>
      <c r="B75" s="23" t="n">
        <f aca="false">B74+G74+H74+I74</f>
        <v>100628147684825</v>
      </c>
      <c r="C75" s="23" t="n">
        <f aca="false">C74*(1+Inputs!B14)*(1+Inputs!B16)</f>
        <v>122786437441447</v>
      </c>
      <c r="D75" s="22" t="n">
        <f aca="false">D74*(1+Inputs!B15)</f>
        <v>484898040.38924</v>
      </c>
      <c r="E75" s="21" t="n">
        <f aca="false">E74*(1+Inputs!B16)</f>
        <v>1</v>
      </c>
      <c r="F75" s="22" t="n">
        <f aca="false">MAX(0,D75*Inputs!B15)</f>
        <v>2424490.2019462</v>
      </c>
      <c r="G75" s="23" t="n">
        <f aca="false">Inputs!B9*(C75/D75)*F75</f>
        <v>15348304680.1809</v>
      </c>
      <c r="H75" s="23" t="n">
        <f aca="false">Inputs!B10*C75*Inputs!B14</f>
        <v>2062812149016.31</v>
      </c>
      <c r="I75" s="23" t="n">
        <f aca="false">Inputs!B11*B75</f>
        <v>0</v>
      </c>
      <c r="J75" s="23" t="n">
        <f aca="false">IF(D75&gt;0,H75/D75,0)</f>
        <v>4254.11525144635</v>
      </c>
      <c r="K75" s="24" t="n">
        <f aca="false">IF(D75&gt;0,I75/D75/12,0)</f>
        <v>0</v>
      </c>
      <c r="L75" s="23" t="n">
        <f aca="false">(L74+J75)*(1+Inputs!B17)</f>
        <v>2909727.19665546</v>
      </c>
      <c r="M75" s="23" t="n">
        <f aca="false">L75/E75</f>
        <v>2909727.19665546</v>
      </c>
      <c r="N75" s="23" t="n">
        <f aca="false">N74+K75*12/E75</f>
        <v>0</v>
      </c>
    </row>
    <row r="76" customFormat="false" ht="15" hidden="false" customHeight="true" outlineLevel="0" collapsed="false">
      <c r="A76" s="18" t="n">
        <v>71</v>
      </c>
      <c r="B76" s="23" t="n">
        <f aca="false">B75+G75+H75+I75</f>
        <v>102706308138521</v>
      </c>
      <c r="C76" s="23" t="n">
        <f aca="false">C75*(1+Inputs!B14)*(1+Inputs!B16)</f>
        <v>125242166190276</v>
      </c>
      <c r="D76" s="22" t="n">
        <f aca="false">D75*(1+Inputs!B15)</f>
        <v>487322530.591186</v>
      </c>
      <c r="E76" s="21" t="n">
        <f aca="false">E75*(1+Inputs!B16)</f>
        <v>1</v>
      </c>
      <c r="F76" s="22" t="n">
        <f aca="false">MAX(0,D76*Inputs!B15)</f>
        <v>2436612.65295593</v>
      </c>
      <c r="G76" s="23" t="n">
        <f aca="false">Inputs!B9*(C76/D76)*F76</f>
        <v>15655270773.7845</v>
      </c>
      <c r="H76" s="23" t="n">
        <f aca="false">Inputs!B10*C76*Inputs!B14</f>
        <v>2104068391996.64</v>
      </c>
      <c r="I76" s="23" t="n">
        <f aca="false">Inputs!B11*B76</f>
        <v>0</v>
      </c>
      <c r="J76" s="23" t="n">
        <f aca="false">IF(D76&gt;0,H76/D76,0)</f>
        <v>4317.60950893062</v>
      </c>
      <c r="K76" s="24" t="n">
        <f aca="false">IF(D76&gt;0,I76/D76/12,0)</f>
        <v>0</v>
      </c>
      <c r="L76" s="23" t="n">
        <f aca="false">(L75+J76)*(1+Inputs!B17)</f>
        <v>3103457.71856508</v>
      </c>
      <c r="M76" s="23" t="n">
        <f aca="false">L76/E76</f>
        <v>3103457.71856508</v>
      </c>
      <c r="N76" s="23" t="n">
        <f aca="false">N75+K76*12/E76</f>
        <v>0</v>
      </c>
    </row>
    <row r="77" customFormat="false" ht="15" hidden="false" customHeight="true" outlineLevel="0" collapsed="false">
      <c r="A77" s="18" t="n">
        <v>72</v>
      </c>
      <c r="B77" s="23" t="n">
        <f aca="false">B76+G76+H76+I76</f>
        <v>104826031801292</v>
      </c>
      <c r="C77" s="23" t="n">
        <f aca="false">C76*(1+Inputs!B14)*(1+Inputs!B16)</f>
        <v>127747009514082</v>
      </c>
      <c r="D77" s="22" t="n">
        <f aca="false">D76*(1+Inputs!B15)</f>
        <v>489759143.244142</v>
      </c>
      <c r="E77" s="21" t="n">
        <f aca="false">E76*(1+Inputs!B16)</f>
        <v>1</v>
      </c>
      <c r="F77" s="22" t="n">
        <f aca="false">MAX(0,D77*Inputs!B15)</f>
        <v>2448795.71622071</v>
      </c>
      <c r="G77" s="23" t="n">
        <f aca="false">Inputs!B9*(C77/D77)*F77</f>
        <v>15968376189.2602</v>
      </c>
      <c r="H77" s="23" t="n">
        <f aca="false">Inputs!B10*C77*Inputs!B14</f>
        <v>2146149759836.57</v>
      </c>
      <c r="I77" s="23" t="n">
        <f aca="false">Inputs!B11*B77</f>
        <v>0</v>
      </c>
      <c r="J77" s="23" t="n">
        <f aca="false">IF(D77&gt;0,H77/D77,0)</f>
        <v>4382.05144189974</v>
      </c>
      <c r="K77" s="24" t="n">
        <f aca="false">IF(D77&gt;0,I77/D77/12,0)</f>
        <v>0</v>
      </c>
      <c r="L77" s="23" t="n">
        <f aca="false">(L76+J77)*(1+Inputs!B17)</f>
        <v>3309849.35505743</v>
      </c>
      <c r="M77" s="23" t="n">
        <f aca="false">L77/E77</f>
        <v>3309849.35505743</v>
      </c>
      <c r="N77" s="23" t="n">
        <f aca="false">N76+K77*12/E77</f>
        <v>0</v>
      </c>
    </row>
    <row r="78" customFormat="false" ht="15" hidden="false" customHeight="true" outlineLevel="0" collapsed="false">
      <c r="A78" s="18" t="n">
        <v>73</v>
      </c>
      <c r="B78" s="23" t="n">
        <f aca="false">B77+G77+H77+I77</f>
        <v>106988149937317</v>
      </c>
      <c r="C78" s="23" t="n">
        <f aca="false">C77*(1+Inputs!B14)*(1+Inputs!B16)</f>
        <v>130301949704363</v>
      </c>
      <c r="D78" s="22" t="n">
        <f aca="false">D77*(1+Inputs!B15)</f>
        <v>492207938.960362</v>
      </c>
      <c r="E78" s="21" t="n">
        <f aca="false">E77*(1+Inputs!B16)</f>
        <v>1</v>
      </c>
      <c r="F78" s="22" t="n">
        <f aca="false">MAX(0,D78*Inputs!B15)</f>
        <v>2461039.69480181</v>
      </c>
      <c r="G78" s="23" t="n">
        <f aca="false">Inputs!B9*(C78/D78)*F78</f>
        <v>16287743713.0454</v>
      </c>
      <c r="H78" s="23" t="n">
        <f aca="false">Inputs!B10*C78*Inputs!B14</f>
        <v>2189072755033.3</v>
      </c>
      <c r="I78" s="23" t="n">
        <f aca="false">Inputs!B11*B78</f>
        <v>0</v>
      </c>
      <c r="J78" s="23" t="n">
        <f aca="false">IF(D78&gt;0,H78/D78,0)</f>
        <v>4447.45519476391</v>
      </c>
      <c r="K78" s="24" t="n">
        <f aca="false">IF(D78&gt;0,I78/D78/12,0)</f>
        <v>0</v>
      </c>
      <c r="L78" s="23" t="n">
        <f aca="false">(L77+J78)*(1+Inputs!B17)</f>
        <v>3529726.10291859</v>
      </c>
      <c r="M78" s="23" t="n">
        <f aca="false">L78/E78</f>
        <v>3529726.10291859</v>
      </c>
      <c r="N78" s="23" t="n">
        <f aca="false">N77+K78*12/E78</f>
        <v>0</v>
      </c>
    </row>
    <row r="79" customFormat="false" ht="15" hidden="false" customHeight="true" outlineLevel="0" collapsed="false">
      <c r="A79" s="18" t="n">
        <v>74</v>
      </c>
      <c r="B79" s="23" t="n">
        <f aca="false">B78+G78+H78+I78</f>
        <v>109193510436064</v>
      </c>
      <c r="C79" s="23" t="n">
        <f aca="false">C78*(1+Inputs!B14)*(1+Inputs!B16)</f>
        <v>132907988698451</v>
      </c>
      <c r="D79" s="22" t="n">
        <f aca="false">D78*(1+Inputs!B15)</f>
        <v>494668978.655164</v>
      </c>
      <c r="E79" s="21" t="n">
        <f aca="false">E78*(1+Inputs!B16)</f>
        <v>1</v>
      </c>
      <c r="F79" s="22" t="n">
        <f aca="false">MAX(0,D79*Inputs!B15)</f>
        <v>2473344.89327582</v>
      </c>
      <c r="G79" s="23" t="n">
        <f aca="false">Inputs!B9*(C79/D79)*F79</f>
        <v>16613498587.3063</v>
      </c>
      <c r="H79" s="23" t="n">
        <f aca="false">Inputs!B10*C79*Inputs!B14</f>
        <v>2232854210133.97</v>
      </c>
      <c r="I79" s="23" t="n">
        <f aca="false">Inputs!B11*B79</f>
        <v>0</v>
      </c>
      <c r="J79" s="23" t="n">
        <f aca="false">IF(D79&gt;0,H79/D79,0)</f>
        <v>4513.83512304397</v>
      </c>
      <c r="K79" s="24" t="n">
        <f aca="false">IF(D79&gt;0,I79/D79/12,0)</f>
        <v>0</v>
      </c>
      <c r="L79" s="23" t="n">
        <f aca="false">(L78+J79)*(1+Inputs!B17)</f>
        <v>3763965.53401434</v>
      </c>
      <c r="M79" s="23" t="n">
        <f aca="false">L79/E79</f>
        <v>3763965.53401434</v>
      </c>
      <c r="N79" s="23" t="n">
        <f aca="false">N78+K79*12/E79</f>
        <v>0</v>
      </c>
    </row>
    <row r="80" customFormat="false" ht="15" hidden="false" customHeight="true" outlineLevel="0" collapsed="false">
      <c r="A80" s="18" t="n">
        <v>75</v>
      </c>
      <c r="B80" s="23" t="n">
        <f aca="false">B79+G79+H79+I79</f>
        <v>111442978144785</v>
      </c>
      <c r="C80" s="23" t="n">
        <f aca="false">C79*(1+Inputs!B14)*(1+Inputs!B16)</f>
        <v>135566148472420</v>
      </c>
      <c r="D80" s="22" t="n">
        <f aca="false">D79*(1+Inputs!B15)</f>
        <v>497142323.54844</v>
      </c>
      <c r="E80" s="21" t="n">
        <f aca="false">E79*(1+Inputs!B16)</f>
        <v>1</v>
      </c>
      <c r="F80" s="22" t="n">
        <f aca="false">MAX(0,D80*Inputs!B15)</f>
        <v>2485711.6177422</v>
      </c>
      <c r="G80" s="23" t="n">
        <f aca="false">Inputs!B9*(C80/D80)*F80</f>
        <v>16945768559.0524</v>
      </c>
      <c r="H80" s="23" t="n">
        <f aca="false">Inputs!B10*C80*Inputs!B14</f>
        <v>2277511294336.65</v>
      </c>
      <c r="I80" s="23" t="n">
        <f aca="false">Inputs!B11*B80</f>
        <v>0</v>
      </c>
      <c r="J80" s="23" t="n">
        <f aca="false">IF(D80&gt;0,H80/D80,0)</f>
        <v>4581.20579652224</v>
      </c>
      <c r="K80" s="24" t="n">
        <f aca="false">IF(D80&gt;0,I80/D80/12,0)</f>
        <v>0</v>
      </c>
      <c r="L80" s="23" t="n">
        <f aca="false">(L79+J80)*(1+Inputs!B17)</f>
        <v>4013502.27789856</v>
      </c>
      <c r="M80" s="23" t="n">
        <f aca="false">L80/E80</f>
        <v>4013502.27789856</v>
      </c>
      <c r="N80" s="23" t="n">
        <f aca="false">N79+K80*12/E80</f>
        <v>0</v>
      </c>
    </row>
    <row r="81" customFormat="false" ht="15" hidden="false" customHeight="true" outlineLevel="0" collapsed="false">
      <c r="A81" s="18" t="n">
        <v>76</v>
      </c>
      <c r="B81" s="23" t="n">
        <f aca="false">B80+G80+H80+I80</f>
        <v>113737435207681</v>
      </c>
      <c r="C81" s="23" t="n">
        <f aca="false">C80*(1+Inputs!B14)*(1+Inputs!B16)</f>
        <v>138277471441868</v>
      </c>
      <c r="D81" s="22" t="n">
        <f aca="false">D80*(1+Inputs!B15)</f>
        <v>499628035.166182</v>
      </c>
      <c r="E81" s="21" t="n">
        <f aca="false">E80*(1+Inputs!B16)</f>
        <v>1</v>
      </c>
      <c r="F81" s="22" t="n">
        <f aca="false">MAX(0,D81*Inputs!B15)</f>
        <v>2498140.17583091</v>
      </c>
      <c r="G81" s="23" t="n">
        <f aca="false">Inputs!B9*(C81/D81)*F81</f>
        <v>17284683930.2335</v>
      </c>
      <c r="H81" s="23" t="n">
        <f aca="false">Inputs!B10*C81*Inputs!B14</f>
        <v>2323061520223.38</v>
      </c>
      <c r="I81" s="23" t="n">
        <f aca="false">Inputs!B11*B81</f>
        <v>0</v>
      </c>
      <c r="J81" s="23" t="n">
        <f aca="false">IF(D81&gt;0,H81/D81,0)</f>
        <v>4649.58200244048</v>
      </c>
      <c r="K81" s="24" t="n">
        <f aca="false">IF(D81&gt;0,I81/D81/12,0)</f>
        <v>0</v>
      </c>
      <c r="L81" s="23" t="n">
        <f aca="false">(L80+J81)*(1+Inputs!B17)</f>
        <v>4279331.73079457</v>
      </c>
      <c r="M81" s="23" t="n">
        <f aca="false">L81/E81</f>
        <v>4279331.73079457</v>
      </c>
      <c r="N81" s="23" t="n">
        <f aca="false">N80+K81*12/E81</f>
        <v>0</v>
      </c>
    </row>
    <row r="82" customFormat="false" ht="15" hidden="false" customHeight="true" outlineLevel="0" collapsed="false">
      <c r="A82" s="18" t="n">
        <v>77</v>
      </c>
      <c r="B82" s="23" t="n">
        <f aca="false">B81+G81+H81+I81</f>
        <v>116077781411834</v>
      </c>
      <c r="C82" s="23" t="n">
        <f aca="false">C81*(1+Inputs!B14)*(1+Inputs!B16)</f>
        <v>141043020870705</v>
      </c>
      <c r="D82" s="22" t="n">
        <f aca="false">D81*(1+Inputs!B15)</f>
        <v>502126175.342013</v>
      </c>
      <c r="E82" s="21" t="n">
        <f aca="false">E81*(1+Inputs!B16)</f>
        <v>1</v>
      </c>
      <c r="F82" s="22" t="n">
        <f aca="false">MAX(0,D82*Inputs!B15)</f>
        <v>2510630.87671006</v>
      </c>
      <c r="G82" s="23" t="n">
        <f aca="false">Inputs!B9*(C82/D82)*F82</f>
        <v>17630377608.8382</v>
      </c>
      <c r="H82" s="23" t="n">
        <f aca="false">Inputs!B10*C82*Inputs!B14</f>
        <v>2369522750627.85</v>
      </c>
      <c r="I82" s="23" t="n">
        <f aca="false">Inputs!B11*B82</f>
        <v>0</v>
      </c>
      <c r="J82" s="23" t="n">
        <f aca="false">IF(D82&gt;0,H82/D82,0)</f>
        <v>4718.97874874557</v>
      </c>
      <c r="K82" s="24" t="n">
        <f aca="false">IF(D82&gt;0,I82/D82/12,0)</f>
        <v>0</v>
      </c>
      <c r="L82" s="23" t="n">
        <f aca="false">(L81+J82)*(1+Inputs!B17)</f>
        <v>4562514.00566363</v>
      </c>
      <c r="M82" s="23" t="n">
        <f aca="false">L82/E82</f>
        <v>4562514.00566363</v>
      </c>
      <c r="N82" s="23" t="n">
        <f aca="false">N81+K82*12/E82</f>
        <v>0</v>
      </c>
    </row>
    <row r="83" customFormat="false" ht="15" hidden="false" customHeight="true" outlineLevel="0" collapsed="false">
      <c r="A83" s="18" t="n">
        <v>78</v>
      </c>
      <c r="B83" s="23" t="n">
        <f aca="false">B82+G82+H82+I82</f>
        <v>118464934540071</v>
      </c>
      <c r="C83" s="23" t="n">
        <f aca="false">C82*(1+Inputs!B14)*(1+Inputs!B16)</f>
        <v>143863881288119</v>
      </c>
      <c r="D83" s="22" t="n">
        <f aca="false">D82*(1+Inputs!B15)</f>
        <v>504636806.218723</v>
      </c>
      <c r="E83" s="21" t="n">
        <f aca="false">E82*(1+Inputs!B16)</f>
        <v>1</v>
      </c>
      <c r="F83" s="22" t="n">
        <f aca="false">MAX(0,D83*Inputs!B15)</f>
        <v>2523184.03109361</v>
      </c>
      <c r="G83" s="23" t="n">
        <f aca="false">Inputs!B9*(C83/D83)*F83</f>
        <v>17982985161.0149</v>
      </c>
      <c r="H83" s="23" t="n">
        <f aca="false">Inputs!B10*C83*Inputs!B14</f>
        <v>2416913205640.41</v>
      </c>
      <c r="I83" s="23" t="n">
        <f aca="false">Inputs!B11*B83</f>
        <v>0</v>
      </c>
      <c r="J83" s="23" t="n">
        <f aca="false">IF(D83&gt;0,H83/D83,0)</f>
        <v>4789.41126738356</v>
      </c>
      <c r="K83" s="24" t="n">
        <f aca="false">IF(D83&gt;0,I83/D83/12,0)</f>
        <v>0</v>
      </c>
      <c r="L83" s="23" t="n">
        <f aca="false">(L82+J83)*(1+Inputs!B17)</f>
        <v>4864178.13903153</v>
      </c>
      <c r="M83" s="23" t="n">
        <f aca="false">L83/E83</f>
        <v>4864178.13903153</v>
      </c>
      <c r="N83" s="23" t="n">
        <f aca="false">N82+K83*12/E83</f>
        <v>0</v>
      </c>
    </row>
    <row r="84" customFormat="false" ht="15" hidden="false" customHeight="true" outlineLevel="0" collapsed="false">
      <c r="A84" s="18" t="n">
        <v>79</v>
      </c>
      <c r="B84" s="23" t="n">
        <f aca="false">B83+G83+H83+I83</f>
        <v>120899830730872</v>
      </c>
      <c r="C84" s="23" t="n">
        <f aca="false">C83*(1+Inputs!B14)*(1+Inputs!B16)</f>
        <v>146741158913882</v>
      </c>
      <c r="D84" s="22" t="n">
        <f aca="false">D83*(1+Inputs!B15)</f>
        <v>507159990.249816</v>
      </c>
      <c r="E84" s="21" t="n">
        <f aca="false">E83*(1+Inputs!B16)</f>
        <v>1</v>
      </c>
      <c r="F84" s="22" t="n">
        <f aca="false">MAX(0,D84*Inputs!B15)</f>
        <v>2535799.95124908</v>
      </c>
      <c r="G84" s="23" t="n">
        <f aca="false">Inputs!B9*(C84/D84)*F84</f>
        <v>18342644864.2352</v>
      </c>
      <c r="H84" s="23" t="n">
        <f aca="false">Inputs!B10*C84*Inputs!B14</f>
        <v>2465251469753.21</v>
      </c>
      <c r="I84" s="23" t="n">
        <f aca="false">Inputs!B11*B84</f>
        <v>0</v>
      </c>
      <c r="J84" s="23" t="n">
        <f aca="false">IF(D84&gt;0,H84/D84,0)</f>
        <v>4860.89501764302</v>
      </c>
      <c r="K84" s="24" t="n">
        <f aca="false">IF(D84&gt;0,I84/D84/12,0)</f>
        <v>0</v>
      </c>
      <c r="L84" s="23" t="n">
        <f aca="false">(L83+J84)*(1+Inputs!B17)</f>
        <v>5185526.57126237</v>
      </c>
      <c r="M84" s="23" t="n">
        <f aca="false">L84/E84</f>
        <v>5185526.57126237</v>
      </c>
      <c r="N84" s="23" t="n">
        <f aca="false">N83+K84*12/E84</f>
        <v>0</v>
      </c>
    </row>
    <row r="85" customFormat="false" ht="15" hidden="false" customHeight="true" outlineLevel="0" collapsed="false">
      <c r="A85" s="18" t="n">
        <v>80</v>
      </c>
      <c r="B85" s="23" t="n">
        <f aca="false">B84+G84+H84+I84</f>
        <v>123383424845490</v>
      </c>
      <c r="C85" s="23" t="n">
        <f aca="false">C84*(1+Inputs!B14)*(1+Inputs!B16)</f>
        <v>149675982092159</v>
      </c>
      <c r="D85" s="22" t="n">
        <f aca="false">D84*(1+Inputs!B15)</f>
        <v>509695790.201065</v>
      </c>
      <c r="E85" s="21" t="n">
        <f aca="false">E84*(1+Inputs!B16)</f>
        <v>1</v>
      </c>
      <c r="F85" s="22" t="n">
        <f aca="false">MAX(0,D85*Inputs!B15)</f>
        <v>2548478.95100533</v>
      </c>
      <c r="G85" s="23" t="n">
        <f aca="false">Inputs!B9*(C85/D85)*F85</f>
        <v>18709497761.5199</v>
      </c>
      <c r="H85" s="23" t="n">
        <f aca="false">Inputs!B10*C85*Inputs!B14</f>
        <v>2514556499148.28</v>
      </c>
      <c r="I85" s="23" t="n">
        <f aca="false">Inputs!B11*B85</f>
        <v>0</v>
      </c>
      <c r="J85" s="23" t="n">
        <f aca="false">IF(D85&gt;0,H85/D85,0)</f>
        <v>4933.44568954814</v>
      </c>
      <c r="K85" s="24" t="n">
        <f aca="false">IF(D85&gt;0,I85/D85/12,0)</f>
        <v>0</v>
      </c>
      <c r="L85" s="23" t="n">
        <f aca="false">(L84+J85)*(1+Inputs!B17)</f>
        <v>5527839.91805379</v>
      </c>
      <c r="M85" s="23" t="n">
        <f aca="false">L85/E85</f>
        <v>5527839.91805379</v>
      </c>
      <c r="N85" s="23" t="n">
        <f aca="false">N84+K85*12/E85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65"/>
  </cols>
  <sheetData>
    <row r="1" customFormat="false" ht="19.5" hidden="false" customHeight="true" outlineLevel="0" collapsed="false">
      <c r="A1" s="2" t="s">
        <v>57</v>
      </c>
      <c r="B1" s="2"/>
      <c r="C1" s="2"/>
    </row>
    <row r="2" customFormat="false" ht="15" hidden="false" customHeight="true" outlineLevel="0" collapsed="false">
      <c r="A2" s="17" t="s">
        <v>58</v>
      </c>
      <c r="B2" s="17"/>
      <c r="C2" s="17"/>
    </row>
    <row r="4" customFormat="false" ht="15" hidden="false" customHeight="true" outlineLevel="0" collapsed="false">
      <c r="A4" s="9" t="s">
        <v>59</v>
      </c>
      <c r="B4" s="9" t="s">
        <v>7</v>
      </c>
      <c r="C4" s="9" t="s">
        <v>60</v>
      </c>
    </row>
    <row r="5" customFormat="false" ht="15" hidden="false" customHeight="true" outlineLevel="0" collapsed="false">
      <c r="A5" s="5" t="s">
        <v>61</v>
      </c>
      <c r="B5" s="25" t="n">
        <f aca="false">INDEX(Projection!M5:M85,MATCH(Inputs!B23,Projection!A5:A85,0))</f>
        <v>2105505.98056276</v>
      </c>
      <c r="C5" s="7" t="s">
        <v>62</v>
      </c>
    </row>
    <row r="6" customFormat="false" ht="15" hidden="false" customHeight="true" outlineLevel="0" collapsed="false">
      <c r="A6" s="5" t="s">
        <v>63</v>
      </c>
      <c r="B6" s="25" t="n">
        <f aca="false">INDEX(Projection!M5:M85,MATCH(Inputs!B23,Projection!A5:A85,0))*Inputs!B24</f>
        <v>84220.2392225102</v>
      </c>
      <c r="C6" s="7" t="s">
        <v>64</v>
      </c>
    </row>
    <row r="7" customFormat="false" ht="15" hidden="false" customHeight="true" outlineLevel="0" collapsed="false">
      <c r="A7" s="5" t="s">
        <v>65</v>
      </c>
      <c r="B7" s="26" t="n">
        <f aca="false">INDEX(Projection!K5:K85,2)</f>
        <v>0</v>
      </c>
      <c r="C7" s="7" t="s">
        <v>66</v>
      </c>
    </row>
    <row r="8" customFormat="false" ht="15" hidden="false" customHeight="true" outlineLevel="0" collapsed="false">
      <c r="A8" s="5" t="s">
        <v>67</v>
      </c>
      <c r="B8" s="25" t="n">
        <f aca="false">INDEX(Projection!N5:N85,MATCH(Inputs!B23,Projection!A5:A85,0))</f>
        <v>0</v>
      </c>
      <c r="C8" s="7" t="s">
        <v>68</v>
      </c>
    </row>
    <row r="9" customFormat="false" ht="15" hidden="false" customHeight="true" outlineLevel="0" collapsed="false">
      <c r="A9" s="5" t="s">
        <v>69</v>
      </c>
      <c r="B9" s="25" t="n">
        <f aca="false">INDEX(Projection!M5:M85,MATCH(Inputs!B23,Projection!A5:A85,0))+INDEX(Projection!N5:N85,MATCH(Inputs!B23,Projection!A5:A85,0))</f>
        <v>2105505.98056276</v>
      </c>
      <c r="C9" s="7" t="s">
        <v>70</v>
      </c>
    </row>
    <row r="10" customFormat="false" ht="15" hidden="false" customHeight="true" outlineLevel="0" collapsed="false">
      <c r="A10" s="5" t="s">
        <v>71</v>
      </c>
      <c r="B10" s="27" t="n">
        <f aca="false">(INDEX(Projection!G5:G85,2)+INDEX(Projection!H5:H85,2)+INDEX(Projection!I5:I85,2))/INDEX(Projection!B5:B85,2)</f>
        <v>0.0228250920370174</v>
      </c>
      <c r="C10" s="7" t="s">
        <v>72</v>
      </c>
    </row>
    <row r="11" customFormat="false" ht="15" hidden="false" customHeight="true" outlineLevel="0" collapsed="false">
      <c r="A11" s="5" t="s">
        <v>73</v>
      </c>
      <c r="B11" s="27" t="n">
        <f aca="false">(INDEX(Projection!G5:G85,2)+INDEX(Projection!H5:H85,2)+INDEX(Projection!I5:I85,2))/INDEX(Projection!C5:C85,2)</f>
        <v>0.016925</v>
      </c>
      <c r="C11" s="7" t="s">
        <v>74</v>
      </c>
    </row>
    <row r="12" customFormat="false" ht="15" hidden="false" customHeight="true" outlineLevel="0" collapsed="false">
      <c r="A12" s="5" t="s">
        <v>75</v>
      </c>
      <c r="B12" s="25" t="n">
        <f aca="false">INDEX(Projection!B5:B85,MATCH(Inputs!B23,Projection!A5:A85,0))</f>
        <v>90832822534151.5</v>
      </c>
      <c r="C12" s="7" t="s">
        <v>76</v>
      </c>
    </row>
    <row r="13" customFormat="false" ht="15" hidden="false" customHeight="true" outlineLevel="0" collapsed="false">
      <c r="A13" s="5" t="s">
        <v>77</v>
      </c>
      <c r="B13" s="25" t="n">
        <f aca="false">INDEX(Projection!C5:C85,MATCH(Inputs!B23,Projection!A5:A85,0))</f>
        <v>111211459419972</v>
      </c>
      <c r="C13" s="7" t="s">
        <v>78</v>
      </c>
    </row>
    <row r="14" customFormat="false" ht="15" hidden="false" customHeight="true" outlineLevel="0" collapsed="false">
      <c r="A14" s="5" t="s">
        <v>79</v>
      </c>
      <c r="B14" s="28" t="n">
        <f aca="false">INDEX(Projection!D5:D85,MATCH(Inputs!B23,Projection!A5:A85,0))</f>
        <v>472955325.740668</v>
      </c>
      <c r="C14" s="7" t="s">
        <v>80</v>
      </c>
    </row>
    <row r="15" customFormat="false" ht="15" hidden="false" customHeight="true" outlineLevel="0" collapsed="false">
      <c r="A15" s="5" t="s">
        <v>81</v>
      </c>
      <c r="B15" s="29" t="n">
        <f aca="false">INDEX(Projection!E5:E85,MATCH(Inputs!B23,Projection!A5:A85,0))</f>
        <v>1</v>
      </c>
      <c r="C15" s="7" t="s">
        <v>82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9" min="6" style="1" width="14"/>
  </cols>
  <sheetData>
    <row r="1" customFormat="false" ht="19.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  <c r="I1" s="2"/>
    </row>
    <row r="2" customFormat="false" ht="37.5" hidden="false" customHeight="tru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85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5" t="s">
        <v>86</v>
      </c>
      <c r="B5" s="30" t="n">
        <v>87571</v>
      </c>
      <c r="C5" s="7" t="s">
        <v>87</v>
      </c>
    </row>
    <row r="6" customFormat="false" ht="15" hidden="false" customHeight="true" outlineLevel="0" collapsed="false">
      <c r="A6" s="5" t="s">
        <v>88</v>
      </c>
      <c r="B6" s="30" t="n">
        <v>244750</v>
      </c>
      <c r="C6" s="7" t="s">
        <v>89</v>
      </c>
    </row>
    <row r="7" customFormat="false" ht="15" hidden="false" customHeight="true" outlineLevel="0" collapsed="false">
      <c r="A7" s="5" t="s">
        <v>90</v>
      </c>
      <c r="B7" s="30" t="n">
        <v>24953</v>
      </c>
      <c r="C7" s="7" t="s">
        <v>91</v>
      </c>
    </row>
    <row r="8" customFormat="false" ht="15" hidden="false" customHeight="true" outlineLevel="0" collapsed="false">
      <c r="A8" s="5" t="s">
        <v>92</v>
      </c>
      <c r="B8" s="31" t="n">
        <v>0.23</v>
      </c>
      <c r="C8" s="7" t="s">
        <v>93</v>
      </c>
    </row>
    <row r="9" customFormat="false" ht="15" hidden="false" customHeight="true" outlineLevel="0" collapsed="false">
      <c r="A9" s="5" t="s">
        <v>94</v>
      </c>
      <c r="B9" s="30" t="n">
        <v>1700</v>
      </c>
      <c r="C9" s="7" t="s">
        <v>95</v>
      </c>
    </row>
    <row r="10" customFormat="false" ht="15" hidden="false" customHeight="true" outlineLevel="0" collapsed="false">
      <c r="A10" s="5" t="s">
        <v>96</v>
      </c>
      <c r="B10" s="32" t="n">
        <v>1000</v>
      </c>
      <c r="C10" s="7" t="s">
        <v>97</v>
      </c>
    </row>
    <row r="11" customFormat="false" ht="15" hidden="false" customHeight="true" outlineLevel="0" collapsed="false">
      <c r="A11" s="5" t="s">
        <v>98</v>
      </c>
      <c r="B11" s="30" t="n">
        <v>31200</v>
      </c>
      <c r="C11" s="7" t="s">
        <v>99</v>
      </c>
    </row>
    <row r="13" customFormat="false" ht="15" hidden="false" customHeight="true" outlineLevel="0" collapsed="false">
      <c r="A13" s="33" t="s">
        <v>100</v>
      </c>
      <c r="B13" s="6" t="s">
        <v>101</v>
      </c>
      <c r="C13" s="7" t="s">
        <v>102</v>
      </c>
    </row>
    <row r="15" customFormat="false" ht="15" hidden="false" customHeight="true" outlineLevel="0" collapsed="false">
      <c r="A15" s="4" t="s">
        <v>103</v>
      </c>
      <c r="B15" s="4"/>
      <c r="C15" s="4"/>
      <c r="D15" s="4"/>
      <c r="E15" s="4"/>
      <c r="F15" s="4"/>
      <c r="G15" s="4"/>
      <c r="H15" s="4"/>
      <c r="I15" s="4"/>
    </row>
    <row r="16" customFormat="false" ht="37.5" hidden="false" customHeight="true" outlineLevel="0" collapsed="false">
      <c r="A16" s="34" t="s">
        <v>104</v>
      </c>
      <c r="B16" s="35" t="s">
        <v>105</v>
      </c>
      <c r="C16" s="34" t="s">
        <v>106</v>
      </c>
      <c r="D16" s="34" t="s">
        <v>107</v>
      </c>
      <c r="E16" s="34" t="s">
        <v>108</v>
      </c>
      <c r="F16" s="34" t="s">
        <v>109</v>
      </c>
      <c r="G16" s="34" t="s">
        <v>110</v>
      </c>
      <c r="H16" s="34" t="s">
        <v>111</v>
      </c>
      <c r="I16" s="34" t="s">
        <v>112</v>
      </c>
    </row>
    <row r="17" customFormat="false" ht="15" hidden="false" customHeight="true" outlineLevel="0" collapsed="false">
      <c r="A17" s="5" t="s">
        <v>113</v>
      </c>
      <c r="B17" s="36" t="n">
        <f aca="false">Summary!B5</f>
        <v>2105505.98056276</v>
      </c>
      <c r="C17" s="37" t="n">
        <f aca="false">IF($B$13="average",$B$6,$B$5)</f>
        <v>87571</v>
      </c>
      <c r="D17" s="37" t="n">
        <f aca="false">IF($B$13="average",$B$6,$B$5)</f>
        <v>87571</v>
      </c>
      <c r="E17" s="37" t="n">
        <f aca="false">IF($B$13="average",$B$6,$B$5)</f>
        <v>87571</v>
      </c>
      <c r="F17" s="37" t="n">
        <f aca="false">IF($B$13="average",$B$6,$B$5)</f>
        <v>87571</v>
      </c>
      <c r="G17" s="37" t="n">
        <f aca="false">IF($B$13="average",$B$6,$B$5)</f>
        <v>87571</v>
      </c>
      <c r="H17" s="37" t="n">
        <f aca="false">IF($B$13="average",$B$6,$B$5)</f>
        <v>87571</v>
      </c>
      <c r="I17" s="37" t="n">
        <f aca="false">IF($B$13="average",$B$6,$B$5)</f>
        <v>87571</v>
      </c>
    </row>
    <row r="18" customFormat="false" ht="15" hidden="false" customHeight="true" outlineLevel="0" collapsed="false">
      <c r="A18" s="5" t="s">
        <v>114</v>
      </c>
      <c r="B18" s="36" t="n">
        <f aca="false">Summary!B8</f>
        <v>0</v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f aca="false">$B$9*Inputs!B23</f>
        <v>110500</v>
      </c>
      <c r="H18" s="37" t="n">
        <f aca="false">$B$10*12*Inputs!B23</f>
        <v>780000</v>
      </c>
      <c r="I18" s="37" t="n">
        <f aca="false">$B$11*43</f>
        <v>1341600</v>
      </c>
    </row>
    <row r="19" customFormat="false" ht="15" hidden="false" customHeight="true" outlineLevel="0" collapsed="false">
      <c r="A19" s="5" t="s">
        <v>115</v>
      </c>
      <c r="B19" s="36" t="n">
        <f aca="false">Summary!B5*Inputs!B24+Projection!K5*12</f>
        <v>84220.2392225102</v>
      </c>
      <c r="C19" s="37" t="n">
        <f aca="false">IF($B$13="average",$B$6,$B$5)*Inputs!B24+IF($B$13="ss-cut",$B$7*(1-$B$8),$B$7)</f>
        <v>28455.84</v>
      </c>
      <c r="D19" s="37" t="n">
        <f aca="false">IF($B$13="average",$B$6,$B$5)*Inputs!B24</f>
        <v>3502.84</v>
      </c>
      <c r="E19" s="37" t="n">
        <f aca="false">IF($B$13="average",$B$6,$B$5)*Inputs!B24</f>
        <v>3502.84</v>
      </c>
      <c r="F19" s="37" t="n">
        <f aca="false">IF($B$13="average",$B$6,$B$5)*Inputs!B24</f>
        <v>3502.84</v>
      </c>
      <c r="G19" s="37" t="n">
        <f aca="false">IF($B$13="average",$B$6,$B$5)*Inputs!B24+$B$9</f>
        <v>5202.84</v>
      </c>
      <c r="H19" s="37" t="n">
        <f aca="false">IF($B$13="average",$B$6,$B$5)*Inputs!B24+$B$10*12</f>
        <v>15502.84</v>
      </c>
      <c r="I19" s="37" t="n">
        <f aca="false">IF($B$13="average",$B$6,$B$5)*Inputs!B24</f>
        <v>3502.84</v>
      </c>
    </row>
    <row r="21" customFormat="false" ht="15" hidden="false" customHeight="true" outlineLevel="0" collapsed="false">
      <c r="A21" s="4" t="s">
        <v>116</v>
      </c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117</v>
      </c>
      <c r="B22" s="38" t="s">
        <v>118</v>
      </c>
      <c r="C22" s="39" t="s">
        <v>119</v>
      </c>
      <c r="D22" s="40" t="s">
        <v>118</v>
      </c>
      <c r="E22" s="40" t="s">
        <v>118</v>
      </c>
      <c r="F22" s="40" t="s">
        <v>118</v>
      </c>
      <c r="G22" s="41" t="s">
        <v>120</v>
      </c>
      <c r="H22" s="39" t="s">
        <v>119</v>
      </c>
      <c r="I22" s="39" t="s">
        <v>119</v>
      </c>
    </row>
    <row r="23" customFormat="false" ht="15" hidden="false" customHeight="true" outlineLevel="0" collapsed="false">
      <c r="A23" s="5" t="s">
        <v>121</v>
      </c>
      <c r="B23" s="38" t="s">
        <v>118</v>
      </c>
      <c r="C23" s="39" t="s">
        <v>119</v>
      </c>
      <c r="D23" s="39" t="s">
        <v>119</v>
      </c>
      <c r="E23" s="39" t="s">
        <v>119</v>
      </c>
      <c r="F23" s="39" t="s">
        <v>119</v>
      </c>
      <c r="G23" s="40" t="s">
        <v>118</v>
      </c>
      <c r="H23" s="40" t="s">
        <v>118</v>
      </c>
      <c r="I23" s="41" t="s">
        <v>120</v>
      </c>
    </row>
    <row r="24" customFormat="false" ht="15" hidden="false" customHeight="true" outlineLevel="0" collapsed="false">
      <c r="A24" s="5" t="s">
        <v>122</v>
      </c>
      <c r="B24" s="38" t="s">
        <v>118</v>
      </c>
      <c r="C24" s="41" t="s">
        <v>120</v>
      </c>
      <c r="D24" s="39" t="s">
        <v>119</v>
      </c>
      <c r="E24" s="39" t="s">
        <v>119</v>
      </c>
      <c r="F24" s="39" t="s">
        <v>119</v>
      </c>
      <c r="G24" s="41" t="s">
        <v>120</v>
      </c>
      <c r="H24" s="39" t="s">
        <v>119</v>
      </c>
      <c r="I24" s="40" t="s">
        <v>118</v>
      </c>
    </row>
    <row r="25" customFormat="false" ht="15" hidden="false" customHeight="true" outlineLevel="0" collapsed="false">
      <c r="A25" s="5" t="s">
        <v>123</v>
      </c>
      <c r="B25" s="42" t="s">
        <v>124</v>
      </c>
      <c r="C25" s="41" t="s">
        <v>125</v>
      </c>
      <c r="D25" s="41" t="s">
        <v>126</v>
      </c>
      <c r="E25" s="41" t="s">
        <v>127</v>
      </c>
      <c r="F25" s="41" t="s">
        <v>127</v>
      </c>
      <c r="G25" s="41" t="s">
        <v>126</v>
      </c>
      <c r="H25" s="41" t="s">
        <v>126</v>
      </c>
      <c r="I25" s="41" t="s">
        <v>125</v>
      </c>
    </row>
    <row r="26" customFormat="false" ht="15" hidden="false" customHeight="true" outlineLevel="0" collapsed="false">
      <c r="A26" s="5" t="s">
        <v>128</v>
      </c>
      <c r="B26" s="38" t="s">
        <v>118</v>
      </c>
      <c r="C26" s="39" t="s">
        <v>119</v>
      </c>
      <c r="D26" s="39" t="s">
        <v>119</v>
      </c>
      <c r="E26" s="39" t="s">
        <v>119</v>
      </c>
      <c r="F26" s="40" t="s">
        <v>118</v>
      </c>
      <c r="G26" s="39" t="s">
        <v>119</v>
      </c>
      <c r="H26" s="39" t="s">
        <v>119</v>
      </c>
      <c r="I26" s="39" t="s">
        <v>119</v>
      </c>
    </row>
    <row r="27" customFormat="false" ht="21.75" hidden="false" customHeight="true" outlineLevel="0" collapsed="false">
      <c r="A27" s="5" t="s">
        <v>129</v>
      </c>
      <c r="B27" s="43" t="s">
        <v>130</v>
      </c>
      <c r="C27" s="44" t="s">
        <v>131</v>
      </c>
      <c r="D27" s="44" t="s">
        <v>132</v>
      </c>
      <c r="E27" s="44" t="s">
        <v>133</v>
      </c>
      <c r="F27" s="44" t="s">
        <v>134</v>
      </c>
      <c r="G27" s="44" t="s">
        <v>135</v>
      </c>
      <c r="H27" s="44" t="s">
        <v>136</v>
      </c>
      <c r="I27" s="44" t="s">
        <v>137</v>
      </c>
    </row>
    <row r="29" customFormat="false" ht="15" hidden="false" customHeight="true" outlineLevel="0" collapsed="false">
      <c r="A29" s="4" t="s">
        <v>138</v>
      </c>
      <c r="B29" s="4"/>
      <c r="C29" s="4"/>
      <c r="D29" s="4"/>
      <c r="E29" s="4"/>
      <c r="F29" s="4"/>
      <c r="G29" s="4"/>
      <c r="H29" s="4"/>
      <c r="I29" s="4"/>
    </row>
    <row r="30" customFormat="false" ht="31.5" hidden="false" customHeight="true" outlineLevel="0" collapsed="false">
      <c r="A30" s="5" t="s">
        <v>139</v>
      </c>
      <c r="B30" s="3" t="s">
        <v>140</v>
      </c>
      <c r="C30" s="3"/>
      <c r="D30" s="3"/>
      <c r="E30" s="3"/>
      <c r="F30" s="3"/>
      <c r="G30" s="3"/>
      <c r="H30" s="3"/>
      <c r="I30" s="3"/>
    </row>
    <row r="31" customFormat="false" ht="31.5" hidden="false" customHeight="true" outlineLevel="0" collapsed="false">
      <c r="A31" s="5" t="s">
        <v>141</v>
      </c>
      <c r="B31" s="3" t="s">
        <v>142</v>
      </c>
      <c r="C31" s="3"/>
      <c r="D31" s="3"/>
      <c r="E31" s="3"/>
      <c r="F31" s="3"/>
      <c r="G31" s="3"/>
      <c r="H31" s="3"/>
      <c r="I31" s="3"/>
    </row>
    <row r="32" customFormat="false" ht="31.5" hidden="false" customHeight="true" outlineLevel="0" collapsed="false">
      <c r="A32" s="5" t="s">
        <v>143</v>
      </c>
      <c r="B32" s="3" t="s">
        <v>144</v>
      </c>
      <c r="C32" s="3"/>
      <c r="D32" s="3"/>
      <c r="E32" s="3"/>
      <c r="F32" s="3"/>
      <c r="G32" s="3"/>
      <c r="H32" s="3"/>
      <c r="I32" s="3"/>
    </row>
    <row r="33" customFormat="false" ht="31.5" hidden="false" customHeight="true" outlineLevel="0" collapsed="false">
      <c r="A33" s="5" t="s">
        <v>145</v>
      </c>
      <c r="B33" s="3" t="s">
        <v>146</v>
      </c>
      <c r="C33" s="3"/>
      <c r="D33" s="3"/>
      <c r="E33" s="3"/>
      <c r="F33" s="3"/>
      <c r="G33" s="3"/>
      <c r="H33" s="3"/>
      <c r="I33" s="3"/>
    </row>
    <row r="34" customFormat="false" ht="31.5" hidden="false" customHeight="true" outlineLevel="0" collapsed="false">
      <c r="A34" s="5" t="s">
        <v>147</v>
      </c>
      <c r="B34" s="3" t="s">
        <v>148</v>
      </c>
      <c r="C34" s="3"/>
      <c r="D34" s="3"/>
      <c r="E34" s="3"/>
      <c r="F34" s="3"/>
      <c r="G34" s="3"/>
      <c r="H34" s="3"/>
      <c r="I34" s="3"/>
    </row>
    <row r="35" customFormat="false" ht="31.5" hidden="false" customHeight="true" outlineLevel="0" collapsed="false">
      <c r="A35" s="5" t="s">
        <v>149</v>
      </c>
      <c r="B35" s="3" t="s">
        <v>150</v>
      </c>
      <c r="C35" s="3"/>
      <c r="D35" s="3"/>
      <c r="E35" s="3"/>
      <c r="F35" s="3"/>
      <c r="G35" s="3"/>
      <c r="H35" s="3"/>
      <c r="I35" s="3"/>
    </row>
    <row r="36" customFormat="false" ht="31.5" hidden="false" customHeight="true" outlineLevel="0" collapsed="false">
      <c r="A36" s="5" t="s">
        <v>151</v>
      </c>
      <c r="B36" s="3" t="s">
        <v>152</v>
      </c>
      <c r="C36" s="3"/>
      <c r="D36" s="3"/>
      <c r="E36" s="3"/>
      <c r="F36" s="3"/>
      <c r="G36" s="3"/>
      <c r="H36" s="3"/>
      <c r="I36" s="3"/>
    </row>
    <row r="37" customFormat="false" ht="31.5" hidden="false" customHeight="true" outlineLevel="0" collapsed="false">
      <c r="A37" s="5" t="s">
        <v>153</v>
      </c>
      <c r="B37" s="3" t="s">
        <v>154</v>
      </c>
      <c r="C37" s="3"/>
      <c r="D37" s="3"/>
      <c r="E37" s="3"/>
      <c r="F37" s="3"/>
      <c r="G37" s="3"/>
      <c r="H37" s="3"/>
      <c r="I37" s="3"/>
    </row>
    <row r="39" customFormat="false" ht="15" hidden="false" customHeight="true" outlineLevel="0" collapsed="false">
      <c r="A39" s="4" t="s">
        <v>155</v>
      </c>
      <c r="B39" s="4"/>
      <c r="C39" s="4"/>
      <c r="D39" s="4"/>
      <c r="E39" s="4"/>
      <c r="F39" s="4"/>
      <c r="G39" s="4"/>
      <c r="H39" s="4"/>
      <c r="I39" s="4"/>
    </row>
    <row r="40" customFormat="false" ht="18" hidden="false" customHeight="true" outlineLevel="0" collapsed="false">
      <c r="A40" s="3" t="s">
        <v>156</v>
      </c>
      <c r="B40" s="3"/>
      <c r="C40" s="3"/>
      <c r="D40" s="3"/>
      <c r="E40" s="3"/>
      <c r="F40" s="3"/>
      <c r="G40" s="3"/>
      <c r="H40" s="3"/>
      <c r="I40" s="3"/>
    </row>
    <row r="41" customFormat="false" ht="18" hidden="false" customHeight="true" outlineLevel="0" collapsed="false">
      <c r="A41" s="3" t="s">
        <v>157</v>
      </c>
      <c r="B41" s="3"/>
      <c r="C41" s="3"/>
      <c r="D41" s="3"/>
      <c r="E41" s="3"/>
      <c r="F41" s="3"/>
      <c r="G41" s="3"/>
      <c r="H41" s="3"/>
      <c r="I41" s="3"/>
    </row>
    <row r="42" customFormat="false" ht="18" hidden="false" customHeight="true" outlineLevel="0" collapsed="false">
      <c r="A42" s="3" t="s">
        <v>158</v>
      </c>
      <c r="B42" s="3"/>
      <c r="C42" s="3"/>
      <c r="D42" s="3"/>
      <c r="E42" s="3"/>
      <c r="F42" s="3"/>
      <c r="G42" s="3"/>
      <c r="H42" s="3"/>
      <c r="I42" s="3"/>
    </row>
    <row r="43" customFormat="false" ht="18" hidden="false" customHeight="true" outlineLevel="0" collapsed="false">
      <c r="A43" s="3" t="s">
        <v>159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3" t="s">
        <v>160</v>
      </c>
      <c r="B44" s="3"/>
      <c r="C44" s="3"/>
      <c r="D44" s="3"/>
      <c r="E44" s="3"/>
      <c r="F44" s="3"/>
      <c r="G44" s="3"/>
      <c r="H44" s="3"/>
      <c r="I44" s="3"/>
    </row>
  </sheetData>
  <mergeCells count="20">
    <mergeCell ref="A1:I1"/>
    <mergeCell ref="A2:I2"/>
    <mergeCell ref="A4:I4"/>
    <mergeCell ref="A15:I15"/>
    <mergeCell ref="A21:I21"/>
    <mergeCell ref="A29:I29"/>
    <mergeCell ref="B30:I30"/>
    <mergeCell ref="B31:I31"/>
    <mergeCell ref="B32:I32"/>
    <mergeCell ref="B33:I33"/>
    <mergeCell ref="B34:I34"/>
    <mergeCell ref="B35:I35"/>
    <mergeCell ref="B36:I36"/>
    <mergeCell ref="B37:I37"/>
    <mergeCell ref="A39:I39"/>
    <mergeCell ref="A40:I40"/>
    <mergeCell ref="A41:I41"/>
    <mergeCell ref="A42:I42"/>
    <mergeCell ref="A43:I43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18" min="3" style="1" width="11"/>
  </cols>
  <sheetData>
    <row r="1" customFormat="false" ht="19.5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7.5" hidden="false" customHeight="true" outlineLevel="0" collapsed="false">
      <c r="A2" s="3" t="s">
        <v>162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5" hidden="false" customHeight="true" outlineLevel="0" collapsed="false">
      <c r="A4" s="4" t="s">
        <v>42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" hidden="false" customHeight="true" outlineLevel="0" collapsed="false">
      <c r="A5" s="34" t="s">
        <v>44</v>
      </c>
      <c r="B5" s="34" t="s">
        <v>163</v>
      </c>
      <c r="C5" s="45" t="s">
        <v>164</v>
      </c>
      <c r="D5" s="45"/>
      <c r="E5" s="45"/>
      <c r="F5" s="45"/>
      <c r="G5" s="46" t="s">
        <v>165</v>
      </c>
      <c r="H5" s="46"/>
      <c r="I5" s="46"/>
      <c r="J5" s="46"/>
      <c r="K5" s="46" t="s">
        <v>166</v>
      </c>
      <c r="L5" s="46"/>
      <c r="M5" s="46"/>
      <c r="N5" s="46"/>
      <c r="O5" s="46" t="s">
        <v>167</v>
      </c>
      <c r="P5" s="46"/>
      <c r="Q5" s="46"/>
      <c r="R5" s="46"/>
    </row>
    <row r="6" customFormat="false" ht="15" hidden="false" customHeight="true" outlineLevel="0" collapsed="false">
      <c r="C6" s="47" t="s">
        <v>168</v>
      </c>
      <c r="D6" s="47" t="s">
        <v>169</v>
      </c>
      <c r="E6" s="47" t="s">
        <v>170</v>
      </c>
      <c r="F6" s="47" t="s">
        <v>171</v>
      </c>
      <c r="G6" s="48" t="s">
        <v>168</v>
      </c>
      <c r="H6" s="48" t="s">
        <v>169</v>
      </c>
      <c r="I6" s="48" t="s">
        <v>170</v>
      </c>
      <c r="J6" s="48" t="s">
        <v>171</v>
      </c>
      <c r="K6" s="48" t="s">
        <v>168</v>
      </c>
      <c r="L6" s="48" t="s">
        <v>169</v>
      </c>
      <c r="M6" s="48" t="s">
        <v>170</v>
      </c>
      <c r="N6" s="48" t="s">
        <v>171</v>
      </c>
      <c r="O6" s="48" t="s">
        <v>168</v>
      </c>
      <c r="P6" s="48" t="s">
        <v>169</v>
      </c>
      <c r="Q6" s="48" t="s">
        <v>170</v>
      </c>
      <c r="R6" s="48" t="s">
        <v>171</v>
      </c>
    </row>
    <row r="7" customFormat="false" ht="15" hidden="false" customHeight="true" outlineLevel="0" collapsed="false">
      <c r="A7" s="49" t="n">
        <v>0</v>
      </c>
      <c r="B7" s="49" t="n">
        <v>0</v>
      </c>
      <c r="C7" s="50" t="n">
        <f aca="false">Inputs!B17</f>
        <v>0.065</v>
      </c>
      <c r="D7" s="50" t="n">
        <f aca="false">Inputs!B16</f>
        <v>0</v>
      </c>
      <c r="E7" s="51" t="n">
        <f aca="false">((Projection!G5/MAX(Projection!F5,1))+Projection!J5)*(1+C7)</f>
        <v>3996.11666666667</v>
      </c>
      <c r="F7" s="51" t="n">
        <f aca="false">E7/(1+Inputs!B16)^(0+1)</f>
        <v>3996.11666666667</v>
      </c>
      <c r="G7" s="50" t="n">
        <f aca="false">Inputs!B17</f>
        <v>0.065</v>
      </c>
      <c r="H7" s="50" t="n">
        <f aca="false">Inputs!B16</f>
        <v>0</v>
      </c>
      <c r="I7" s="51" t="n">
        <f aca="false">((Projection!G5/MAX(Projection!F5,1))+Projection!J5)*(1+G7)</f>
        <v>3996.11666666667</v>
      </c>
      <c r="J7" s="51" t="n">
        <f aca="false">I7/(1+H7)</f>
        <v>3996.11666666667</v>
      </c>
      <c r="K7" s="50" t="n">
        <f aca="false">Inputs!B17</f>
        <v>0.065</v>
      </c>
      <c r="L7" s="50" t="n">
        <f aca="false">Inputs!B16</f>
        <v>0</v>
      </c>
      <c r="M7" s="51" t="n">
        <f aca="false">((Projection!G5/MAX(Projection!F5,1))+Projection!J5)*(1+K7)</f>
        <v>3996.11666666667</v>
      </c>
      <c r="N7" s="51" t="n">
        <f aca="false">M7/(1+L7)</f>
        <v>3996.11666666667</v>
      </c>
      <c r="O7" s="50" t="n">
        <f aca="false">Inputs!B17</f>
        <v>0.065</v>
      </c>
      <c r="P7" s="50" t="n">
        <f aca="false">Inputs!B16</f>
        <v>0</v>
      </c>
      <c r="Q7" s="51" t="n">
        <f aca="false">((Projection!G5/MAX(Projection!F5,1))+Projection!J5)*(1+O7)</f>
        <v>3996.11666666667</v>
      </c>
      <c r="R7" s="51" t="n">
        <f aca="false">Q7/(1+P7)</f>
        <v>3996.11666666667</v>
      </c>
    </row>
    <row r="8" customFormat="false" ht="15" hidden="false" customHeight="true" outlineLevel="0" collapsed="false">
      <c r="A8" s="49" t="n">
        <v>1</v>
      </c>
      <c r="B8" s="49" t="n">
        <v>1</v>
      </c>
      <c r="C8" s="50" t="n">
        <f aca="false">Inputs!B17</f>
        <v>0.065</v>
      </c>
      <c r="D8" s="50" t="n">
        <f aca="false">Inputs!B16</f>
        <v>0</v>
      </c>
      <c r="E8" s="51" t="n">
        <f aca="false">(E7+Projection!J6)*(1+C8)</f>
        <v>5885.93055007855</v>
      </c>
      <c r="F8" s="51" t="n">
        <f aca="false">E8/(1+Inputs!B16)^(1+1)</f>
        <v>5885.93055007855</v>
      </c>
      <c r="G8" s="50" t="n">
        <f aca="false">Inputs!B17</f>
        <v>0.065</v>
      </c>
      <c r="H8" s="50" t="n">
        <f aca="false">Inputs!B16</f>
        <v>0</v>
      </c>
      <c r="I8" s="51" t="n">
        <f aca="false">(I7+Projection!J6)*(1+G8)</f>
        <v>5885.93055007855</v>
      </c>
      <c r="J8" s="51" t="n">
        <f aca="false">I8/PRODUCT(1+H$7:H8)</f>
        <v>5885.93055007855</v>
      </c>
      <c r="K8" s="50" t="n">
        <f aca="false">Inputs!B17</f>
        <v>0.065</v>
      </c>
      <c r="L8" s="50" t="n">
        <f aca="false">Inputs!B16</f>
        <v>0</v>
      </c>
      <c r="M8" s="51" t="n">
        <f aca="false">(M7+Projection!J6)*(1+K8)</f>
        <v>5885.93055007855</v>
      </c>
      <c r="N8" s="51" t="n">
        <f aca="false">M8/PRODUCT(1+L$7:L8)</f>
        <v>5885.93055007855</v>
      </c>
      <c r="O8" s="50" t="n">
        <f aca="false">Inputs!B17</f>
        <v>0.065</v>
      </c>
      <c r="P8" s="50" t="n">
        <f aca="false">Inputs!B16</f>
        <v>0</v>
      </c>
      <c r="Q8" s="51" t="n">
        <f aca="false">(Q7+Projection!J6)*(1+O8)</f>
        <v>5885.93055007855</v>
      </c>
      <c r="R8" s="51" t="n">
        <f aca="false">Q8/PRODUCT(1+P$7:P8)</f>
        <v>5885.93055007855</v>
      </c>
    </row>
    <row r="9" customFormat="false" ht="15" hidden="false" customHeight="true" outlineLevel="0" collapsed="false">
      <c r="A9" s="49" t="n">
        <v>2</v>
      </c>
      <c r="B9" s="49" t="n">
        <v>2</v>
      </c>
      <c r="C9" s="50" t="n">
        <f aca="false">Inputs!B17</f>
        <v>0.065</v>
      </c>
      <c r="D9" s="50" t="n">
        <f aca="false">Inputs!B16</f>
        <v>0</v>
      </c>
      <c r="E9" s="51" t="n">
        <f aca="false">(E8+Projection!J7)*(1+C9)</f>
        <v>7922.91168367458</v>
      </c>
      <c r="F9" s="51" t="n">
        <f aca="false">E9/(1+Inputs!B16)^(2+1)</f>
        <v>7922.91168367458</v>
      </c>
      <c r="G9" s="50" t="n">
        <f aca="false">Inputs!B17</f>
        <v>0.065</v>
      </c>
      <c r="H9" s="50" t="n">
        <f aca="false">Inputs!B16</f>
        <v>0</v>
      </c>
      <c r="I9" s="51" t="n">
        <f aca="false">(I8+Projection!J7)*(1+G9)</f>
        <v>7922.91168367458</v>
      </c>
      <c r="J9" s="51" t="n">
        <f aca="false">I9/PRODUCT(1+H$7:H9)</f>
        <v>7922.91168367458</v>
      </c>
      <c r="K9" s="50" t="n">
        <f aca="false">Inputs!B17</f>
        <v>0.065</v>
      </c>
      <c r="L9" s="50" t="n">
        <f aca="false">Inputs!B16</f>
        <v>0</v>
      </c>
      <c r="M9" s="51" t="n">
        <f aca="false">(M8+Projection!J7)*(1+K9)</f>
        <v>7922.91168367458</v>
      </c>
      <c r="N9" s="51" t="n">
        <f aca="false">M9/PRODUCT(1+L$7:L9)</f>
        <v>7922.91168367458</v>
      </c>
      <c r="O9" s="50" t="n">
        <f aca="false">Inputs!B17</f>
        <v>0.065</v>
      </c>
      <c r="P9" s="50" t="n">
        <f aca="false">Inputs!B16</f>
        <v>0</v>
      </c>
      <c r="Q9" s="51" t="n">
        <f aca="false">(Q8+Projection!J7)*(1+O9)</f>
        <v>7922.91168367458</v>
      </c>
      <c r="R9" s="51" t="n">
        <f aca="false">Q9/PRODUCT(1+P$7:P9)</f>
        <v>7922.91168367458</v>
      </c>
    </row>
    <row r="10" customFormat="false" ht="15" hidden="false" customHeight="true" outlineLevel="0" collapsed="false">
      <c r="A10" s="49" t="n">
        <v>3</v>
      </c>
      <c r="B10" s="49" t="n">
        <v>3</v>
      </c>
      <c r="C10" s="50" t="n">
        <f aca="false">Inputs!B17</f>
        <v>0.065</v>
      </c>
      <c r="D10" s="50" t="n">
        <f aca="false">Inputs!B16</f>
        <v>0</v>
      </c>
      <c r="E10" s="51" t="n">
        <f aca="false">(E9+Projection!J8)*(1+C10)</f>
        <v>10116.9890633102</v>
      </c>
      <c r="F10" s="51" t="n">
        <f aca="false">E10/(1+Inputs!B16)^(3+1)</f>
        <v>10116.9890633102</v>
      </c>
      <c r="G10" s="50" t="n">
        <f aca="false">Inputs!B17</f>
        <v>0.065</v>
      </c>
      <c r="H10" s="50" t="n">
        <f aca="false">Inputs!B16</f>
        <v>0</v>
      </c>
      <c r="I10" s="51" t="n">
        <f aca="false">(I9+Projection!J8)*(1+G10)</f>
        <v>10116.9890633102</v>
      </c>
      <c r="J10" s="51" t="n">
        <f aca="false">I10/PRODUCT(1+H$7:H10)</f>
        <v>10116.9890633102</v>
      </c>
      <c r="K10" s="50" t="n">
        <f aca="false">Inputs!B17</f>
        <v>0.065</v>
      </c>
      <c r="L10" s="50" t="n">
        <f aca="false">Inputs!B16</f>
        <v>0</v>
      </c>
      <c r="M10" s="51" t="n">
        <f aca="false">(M9+Projection!J8)*(1+K10)</f>
        <v>10116.9890633102</v>
      </c>
      <c r="N10" s="51" t="n">
        <f aca="false">M10/PRODUCT(1+L$7:L10)</f>
        <v>10116.9890633102</v>
      </c>
      <c r="O10" s="50" t="n">
        <f aca="false">Inputs!B17</f>
        <v>0.065</v>
      </c>
      <c r="P10" s="50" t="n">
        <f aca="false">Inputs!B16</f>
        <v>0</v>
      </c>
      <c r="Q10" s="51" t="n">
        <f aca="false">(Q9+Projection!J8)*(1+O10)</f>
        <v>10116.9890633102</v>
      </c>
      <c r="R10" s="51" t="n">
        <f aca="false">Q10/PRODUCT(1+P$7:P10)</f>
        <v>10116.9890633102</v>
      </c>
    </row>
    <row r="11" customFormat="false" ht="15" hidden="false" customHeight="true" outlineLevel="0" collapsed="false">
      <c r="A11" s="49" t="n">
        <v>4</v>
      </c>
      <c r="B11" s="49" t="n">
        <v>4</v>
      </c>
      <c r="C11" s="50" t="n">
        <f aca="false">Inputs!B17</f>
        <v>0.065</v>
      </c>
      <c r="D11" s="50" t="n">
        <f aca="false">Inputs!B16</f>
        <v>0</v>
      </c>
      <c r="E11" s="51" t="n">
        <f aca="false">(E10+Projection!J9)*(1+C11)</f>
        <v>12478.7424893415</v>
      </c>
      <c r="F11" s="51" t="n">
        <f aca="false">E11/(1+Inputs!B16)^(4+1)</f>
        <v>12478.7424893415</v>
      </c>
      <c r="G11" s="50" t="n">
        <f aca="false">Inputs!B17</f>
        <v>0.065</v>
      </c>
      <c r="H11" s="50" t="n">
        <f aca="false">Inputs!B16</f>
        <v>0</v>
      </c>
      <c r="I11" s="51" t="n">
        <f aca="false">(I10+Projection!J9)*(1+G11)</f>
        <v>12478.7424893415</v>
      </c>
      <c r="J11" s="51" t="n">
        <f aca="false">I11/PRODUCT(1+H$7:H11)</f>
        <v>12478.7424893415</v>
      </c>
      <c r="K11" s="50" t="n">
        <f aca="false">Inputs!B17</f>
        <v>0.065</v>
      </c>
      <c r="L11" s="50" t="n">
        <f aca="false">Inputs!B16</f>
        <v>0</v>
      </c>
      <c r="M11" s="51" t="n">
        <f aca="false">(M10+Projection!J9)*(1+K11)</f>
        <v>12478.7424893415</v>
      </c>
      <c r="N11" s="51" t="n">
        <f aca="false">M11/PRODUCT(1+L$7:L11)</f>
        <v>12478.7424893415</v>
      </c>
      <c r="O11" s="50" t="n">
        <f aca="false">Inputs!B17</f>
        <v>0.065</v>
      </c>
      <c r="P11" s="50" t="n">
        <f aca="false">Inputs!B16</f>
        <v>0</v>
      </c>
      <c r="Q11" s="51" t="n">
        <f aca="false">(Q10+Projection!J9)*(1+O11)</f>
        <v>12478.7424893415</v>
      </c>
      <c r="R11" s="51" t="n">
        <f aca="false">Q11/PRODUCT(1+P$7:P11)</f>
        <v>12478.7424893415</v>
      </c>
    </row>
    <row r="12" customFormat="false" ht="15" hidden="false" customHeight="true" outlineLevel="0" collapsed="false">
      <c r="A12" s="49" t="n">
        <v>5</v>
      </c>
      <c r="B12" s="49" t="n">
        <v>5</v>
      </c>
      <c r="C12" s="50" t="n">
        <f aca="false">Inputs!B17</f>
        <v>0.065</v>
      </c>
      <c r="D12" s="50" t="n">
        <f aca="false">Inputs!B16</f>
        <v>0</v>
      </c>
      <c r="E12" s="51" t="n">
        <f aca="false">(E11+Projection!J10)*(1+C12)</f>
        <v>15019.4449498098</v>
      </c>
      <c r="F12" s="51" t="n">
        <f aca="false">E12/(1+Inputs!B16)^(5+1)</f>
        <v>15019.4449498098</v>
      </c>
      <c r="G12" s="50" t="n">
        <f aca="false">Inputs!B17</f>
        <v>0.065</v>
      </c>
      <c r="H12" s="50" t="n">
        <f aca="false">Inputs!B16</f>
        <v>0</v>
      </c>
      <c r="I12" s="51" t="n">
        <f aca="false">(I11+Projection!J10)*(1+G12)</f>
        <v>15019.4449498098</v>
      </c>
      <c r="J12" s="51" t="n">
        <f aca="false">I12/PRODUCT(1+H$7:H12)</f>
        <v>15019.4449498098</v>
      </c>
      <c r="K12" s="50" t="n">
        <f aca="false">Inputs!B17</f>
        <v>0.065</v>
      </c>
      <c r="L12" s="50" t="n">
        <f aca="false">Inputs!B16</f>
        <v>0</v>
      </c>
      <c r="M12" s="51" t="n">
        <f aca="false">(M11+Projection!J10)*(1+K12)</f>
        <v>15019.4449498098</v>
      </c>
      <c r="N12" s="51" t="n">
        <f aca="false">M12/PRODUCT(1+L$7:L12)</f>
        <v>15019.4449498098</v>
      </c>
      <c r="O12" s="50" t="n">
        <f aca="false">Inputs!B17</f>
        <v>0.065</v>
      </c>
      <c r="P12" s="50" t="n">
        <f aca="false">Inputs!B16</f>
        <v>0</v>
      </c>
      <c r="Q12" s="51" t="n">
        <f aca="false">(Q11+Projection!J10)*(1+O12)</f>
        <v>15019.4449498098</v>
      </c>
      <c r="R12" s="51" t="n">
        <f aca="false">Q12/PRODUCT(1+P$7:P12)</f>
        <v>15019.4449498098</v>
      </c>
    </row>
    <row r="13" customFormat="false" ht="15" hidden="false" customHeight="true" outlineLevel="0" collapsed="false">
      <c r="A13" s="49" t="n">
        <v>6</v>
      </c>
      <c r="B13" s="49" t="n">
        <v>6</v>
      </c>
      <c r="C13" s="50" t="n">
        <f aca="false">Inputs!B17</f>
        <v>0.065</v>
      </c>
      <c r="D13" s="50" t="n">
        <f aca="false">Inputs!B16</f>
        <v>0</v>
      </c>
      <c r="E13" s="51" t="n">
        <f aca="false">(E12+Projection!J11)*(1+C13)</f>
        <v>17751.1077597408</v>
      </c>
      <c r="F13" s="51" t="n">
        <f aca="false">E13/(1+Inputs!B16)^(6+1)</f>
        <v>17751.1077597408</v>
      </c>
      <c r="G13" s="50" t="n">
        <f aca="false">Inputs!B17</f>
        <v>0.065</v>
      </c>
      <c r="H13" s="50" t="n">
        <f aca="false">Inputs!B16</f>
        <v>0</v>
      </c>
      <c r="I13" s="51" t="n">
        <f aca="false">(I12+Projection!J11)*(1+G13)</f>
        <v>17751.1077597408</v>
      </c>
      <c r="J13" s="51" t="n">
        <f aca="false">I13/PRODUCT(1+H$7:H13)</f>
        <v>17751.1077597408</v>
      </c>
      <c r="K13" s="50" t="n">
        <f aca="false">Inputs!B17</f>
        <v>0.065</v>
      </c>
      <c r="L13" s="50" t="n">
        <f aca="false">Inputs!B16</f>
        <v>0</v>
      </c>
      <c r="M13" s="51" t="n">
        <f aca="false">(M12+Projection!J11)*(1+K13)</f>
        <v>17751.1077597408</v>
      </c>
      <c r="N13" s="51" t="n">
        <f aca="false">M13/PRODUCT(1+L$7:L13)</f>
        <v>17751.1077597408</v>
      </c>
      <c r="O13" s="50" t="n">
        <f aca="false">Inputs!B17</f>
        <v>0.065</v>
      </c>
      <c r="P13" s="50" t="n">
        <f aca="false">Inputs!B16</f>
        <v>0</v>
      </c>
      <c r="Q13" s="51" t="n">
        <f aca="false">(Q12+Projection!J11)*(1+O13)</f>
        <v>17751.1077597408</v>
      </c>
      <c r="R13" s="51" t="n">
        <f aca="false">Q13/PRODUCT(1+P$7:P13)</f>
        <v>17751.1077597408</v>
      </c>
    </row>
    <row r="14" customFormat="false" ht="15" hidden="false" customHeight="true" outlineLevel="0" collapsed="false">
      <c r="A14" s="49" t="n">
        <v>7</v>
      </c>
      <c r="B14" s="49" t="n">
        <v>7</v>
      </c>
      <c r="C14" s="50" t="n">
        <f aca="false">Inputs!B17</f>
        <v>0.065</v>
      </c>
      <c r="D14" s="50" t="n">
        <f aca="false">Inputs!B16</f>
        <v>0</v>
      </c>
      <c r="E14" s="51" t="n">
        <f aca="false">(E13+Projection!J12)*(1+C14)</f>
        <v>20686.5286357232</v>
      </c>
      <c r="F14" s="51" t="n">
        <f aca="false">E14/(1+Inputs!B16)^(7+1)</f>
        <v>20686.5286357232</v>
      </c>
      <c r="G14" s="50" t="n">
        <f aca="false">Inputs!B17</f>
        <v>0.065</v>
      </c>
      <c r="H14" s="50" t="n">
        <f aca="false">Inputs!B16</f>
        <v>0</v>
      </c>
      <c r="I14" s="51" t="n">
        <f aca="false">(I13+Projection!J12)*(1+G14)</f>
        <v>20686.5286357232</v>
      </c>
      <c r="J14" s="51" t="n">
        <f aca="false">I14/PRODUCT(1+H$7:H14)</f>
        <v>20686.5286357232</v>
      </c>
      <c r="K14" s="50" t="n">
        <f aca="false">Inputs!B17</f>
        <v>0.065</v>
      </c>
      <c r="L14" s="50" t="n">
        <f aca="false">Inputs!B16</f>
        <v>0</v>
      </c>
      <c r="M14" s="51" t="n">
        <f aca="false">(M13+Projection!J12)*(1+K14)</f>
        <v>20686.5286357232</v>
      </c>
      <c r="N14" s="51" t="n">
        <f aca="false">M14/PRODUCT(1+L$7:L14)</f>
        <v>20686.5286357232</v>
      </c>
      <c r="O14" s="50" t="n">
        <f aca="false">Inputs!B17</f>
        <v>0.065</v>
      </c>
      <c r="P14" s="50" t="n">
        <f aca="false">Inputs!B16</f>
        <v>0</v>
      </c>
      <c r="Q14" s="51" t="n">
        <f aca="false">(Q13+Projection!J12)*(1+O14)</f>
        <v>20686.5286357232</v>
      </c>
      <c r="R14" s="51" t="n">
        <f aca="false">Q14/PRODUCT(1+P$7:P14)</f>
        <v>20686.5286357232</v>
      </c>
    </row>
    <row r="15" customFormat="false" ht="15" hidden="false" customHeight="true" outlineLevel="0" collapsed="false">
      <c r="A15" s="49" t="n">
        <v>8</v>
      </c>
      <c r="B15" s="49" t="n">
        <v>8</v>
      </c>
      <c r="C15" s="50" t="n">
        <f aca="false">Inputs!B17</f>
        <v>0.065</v>
      </c>
      <c r="D15" s="50" t="n">
        <f aca="false">Inputs!B16</f>
        <v>0</v>
      </c>
      <c r="E15" s="51" t="n">
        <f aca="false">(E14+Projection!J13)*(1+C15)</f>
        <v>23839.3428965788</v>
      </c>
      <c r="F15" s="51" t="n">
        <f aca="false">E15/(1+Inputs!B16)^(8+1)</f>
        <v>23839.3428965788</v>
      </c>
      <c r="G15" s="50" t="n">
        <f aca="false">Inputs!B17</f>
        <v>0.065</v>
      </c>
      <c r="H15" s="50" t="n">
        <f aca="false">Inputs!B16</f>
        <v>0</v>
      </c>
      <c r="I15" s="51" t="n">
        <f aca="false">(I14+Projection!J13)*(1+G15)</f>
        <v>23839.3428965788</v>
      </c>
      <c r="J15" s="51" t="n">
        <f aca="false">I15/PRODUCT(1+H$7:H15)</f>
        <v>23839.3428965788</v>
      </c>
      <c r="K15" s="50" t="n">
        <f aca="false">Inputs!B17</f>
        <v>0.065</v>
      </c>
      <c r="L15" s="50" t="n">
        <f aca="false">Inputs!B16</f>
        <v>0</v>
      </c>
      <c r="M15" s="51" t="n">
        <f aca="false">(M14+Projection!J13)*(1+K15)</f>
        <v>23839.3428965788</v>
      </c>
      <c r="N15" s="51" t="n">
        <f aca="false">M15/PRODUCT(1+L$7:L15)</f>
        <v>23839.3428965788</v>
      </c>
      <c r="O15" s="50" t="n">
        <f aca="false">Inputs!B17</f>
        <v>0.065</v>
      </c>
      <c r="P15" s="50" t="n">
        <f aca="false">Inputs!B16</f>
        <v>0</v>
      </c>
      <c r="Q15" s="51" t="n">
        <f aca="false">(Q14+Projection!J13)*(1+O15)</f>
        <v>23839.3428965788</v>
      </c>
      <c r="R15" s="51" t="n">
        <f aca="false">Q15/PRODUCT(1+P$7:P15)</f>
        <v>23839.3428965788</v>
      </c>
    </row>
    <row r="16" customFormat="false" ht="15" hidden="false" customHeight="true" outlineLevel="0" collapsed="false">
      <c r="A16" s="49" t="n">
        <v>9</v>
      </c>
      <c r="B16" s="49" t="n">
        <v>9</v>
      </c>
      <c r="C16" s="50" t="n">
        <f aca="false">Inputs!B17</f>
        <v>0.065</v>
      </c>
      <c r="D16" s="50" t="n">
        <f aca="false">Inputs!B16</f>
        <v>0</v>
      </c>
      <c r="E16" s="51" t="n">
        <f aca="false">(E15+Projection!J14)*(1+C16)</f>
        <v>27224.0779933382</v>
      </c>
      <c r="F16" s="51" t="n">
        <f aca="false">E16/(1+Inputs!B16)^(9+1)</f>
        <v>27224.0779933382</v>
      </c>
      <c r="G16" s="50" t="n">
        <f aca="false">Inputs!B17</f>
        <v>0.065</v>
      </c>
      <c r="H16" s="50" t="n">
        <f aca="false">Inputs!B16</f>
        <v>0</v>
      </c>
      <c r="I16" s="51" t="n">
        <f aca="false">(I15+Projection!J14)*(1+G16)</f>
        <v>27224.0779933382</v>
      </c>
      <c r="J16" s="51" t="n">
        <f aca="false">I16/PRODUCT(1+H$7:H16)</f>
        <v>27224.0779933382</v>
      </c>
      <c r="K16" s="50" t="n">
        <f aca="false">Inputs!B17</f>
        <v>0.065</v>
      </c>
      <c r="L16" s="50" t="n">
        <f aca="false">Inputs!B16</f>
        <v>0</v>
      </c>
      <c r="M16" s="51" t="n">
        <f aca="false">(M15+Projection!J14)*(1+K16)</f>
        <v>27224.0779933382</v>
      </c>
      <c r="N16" s="51" t="n">
        <f aca="false">M16/PRODUCT(1+L$7:L16)</f>
        <v>27224.0779933382</v>
      </c>
      <c r="O16" s="50" t="n">
        <f aca="false">Inputs!B17</f>
        <v>0.065</v>
      </c>
      <c r="P16" s="50" t="n">
        <f aca="false">Inputs!B16</f>
        <v>0</v>
      </c>
      <c r="Q16" s="51" t="n">
        <f aca="false">(Q15+Projection!J14)*(1+O16)</f>
        <v>27224.0779933382</v>
      </c>
      <c r="R16" s="51" t="n">
        <f aca="false">Q16/PRODUCT(1+P$7:P16)</f>
        <v>27224.0779933382</v>
      </c>
    </row>
    <row r="17" customFormat="false" ht="15" hidden="false" customHeight="true" outlineLevel="0" collapsed="false">
      <c r="A17" s="49" t="n">
        <v>10</v>
      </c>
      <c r="B17" s="49" t="n">
        <v>10</v>
      </c>
      <c r="C17" s="50" t="n">
        <f aca="false">Inputs!B17</f>
        <v>0.065</v>
      </c>
      <c r="D17" s="50" t="n">
        <f aca="false">Inputs!B16</f>
        <v>0</v>
      </c>
      <c r="E17" s="51" t="n">
        <f aca="false">(E16+Projection!J15)*(1+C17)</f>
        <v>30856.2115849465</v>
      </c>
      <c r="F17" s="51" t="n">
        <f aca="false">E17/(1+Inputs!B16)^(10+1)</f>
        <v>30856.2115849465</v>
      </c>
      <c r="G17" s="50" t="n">
        <f aca="false">Inputs!B17</f>
        <v>0.065</v>
      </c>
      <c r="H17" s="50" t="n">
        <f aca="false">Inputs!B16</f>
        <v>0</v>
      </c>
      <c r="I17" s="51" t="n">
        <f aca="false">(I16+Projection!J15)*(1+G17)</f>
        <v>30856.2115849465</v>
      </c>
      <c r="J17" s="51" t="n">
        <f aca="false">I17/PRODUCT(1+H$7:H17)</f>
        <v>30856.2115849465</v>
      </c>
      <c r="K17" s="50" t="n">
        <f aca="false">Inputs!B17</f>
        <v>0.065</v>
      </c>
      <c r="L17" s="50" t="n">
        <f aca="false">Inputs!B16</f>
        <v>0</v>
      </c>
      <c r="M17" s="51" t="n">
        <f aca="false">(M16+Projection!J15)*(1+K17)</f>
        <v>30856.2115849465</v>
      </c>
      <c r="N17" s="51" t="n">
        <f aca="false">M17/PRODUCT(1+L$7:L17)</f>
        <v>30856.2115849465</v>
      </c>
      <c r="O17" s="50" t="n">
        <f aca="false">Inputs!B17</f>
        <v>0.065</v>
      </c>
      <c r="P17" s="50" t="n">
        <f aca="false">Inputs!B16</f>
        <v>0</v>
      </c>
      <c r="Q17" s="51" t="n">
        <f aca="false">(Q16+Projection!J15)*(1+O17)</f>
        <v>30856.2115849465</v>
      </c>
      <c r="R17" s="51" t="n">
        <f aca="false">Q17/PRODUCT(1+P$7:P17)</f>
        <v>30856.2115849465</v>
      </c>
    </row>
    <row r="18" customFormat="false" ht="15" hidden="false" customHeight="true" outlineLevel="0" collapsed="false">
      <c r="A18" s="49" t="n">
        <v>11</v>
      </c>
      <c r="B18" s="49" t="n">
        <v>11</v>
      </c>
      <c r="C18" s="50" t="n">
        <f aca="false">Inputs!B17</f>
        <v>0.065</v>
      </c>
      <c r="D18" s="50" t="n">
        <f aca="false">Inputs!B16</f>
        <v>0</v>
      </c>
      <c r="E18" s="51" t="n">
        <f aca="false">(E17+Projection!J16)*(1+C18)</f>
        <v>34752.233390189</v>
      </c>
      <c r="F18" s="51" t="n">
        <f aca="false">E18/(1+Inputs!B16)^(11+1)</f>
        <v>34752.233390189</v>
      </c>
      <c r="G18" s="50" t="n">
        <f aca="false">Inputs!B17</f>
        <v>0.065</v>
      </c>
      <c r="H18" s="50" t="n">
        <f aca="false">Inputs!B16</f>
        <v>0</v>
      </c>
      <c r="I18" s="51" t="n">
        <f aca="false">(I17+Projection!J16)*(1+G18)</f>
        <v>34752.233390189</v>
      </c>
      <c r="J18" s="51" t="n">
        <f aca="false">I18/PRODUCT(1+H$7:H18)</f>
        <v>34752.233390189</v>
      </c>
      <c r="K18" s="50" t="n">
        <f aca="false">Inputs!B17</f>
        <v>0.065</v>
      </c>
      <c r="L18" s="50" t="n">
        <f aca="false">Inputs!B16</f>
        <v>0</v>
      </c>
      <c r="M18" s="51" t="n">
        <f aca="false">(M17+Projection!J16)*(1+K18)</f>
        <v>34752.233390189</v>
      </c>
      <c r="N18" s="51" t="n">
        <f aca="false">M18/PRODUCT(1+L$7:L18)</f>
        <v>34752.233390189</v>
      </c>
      <c r="O18" s="50" t="n">
        <f aca="false">Inputs!B17</f>
        <v>0.065</v>
      </c>
      <c r="P18" s="50" t="n">
        <f aca="false">Inputs!B16</f>
        <v>0</v>
      </c>
      <c r="Q18" s="51" t="n">
        <f aca="false">(Q17+Projection!J16)*(1+O18)</f>
        <v>34752.233390189</v>
      </c>
      <c r="R18" s="51" t="n">
        <f aca="false">Q18/PRODUCT(1+P$7:P18)</f>
        <v>34752.233390189</v>
      </c>
    </row>
    <row r="19" customFormat="false" ht="15" hidden="false" customHeight="true" outlineLevel="0" collapsed="false">
      <c r="A19" s="49" t="n">
        <v>12</v>
      </c>
      <c r="B19" s="49" t="n">
        <v>12</v>
      </c>
      <c r="C19" s="50" t="n">
        <f aca="false">Inputs!B17</f>
        <v>0.065</v>
      </c>
      <c r="D19" s="50" t="n">
        <f aca="false">Inputs!B16</f>
        <v>0</v>
      </c>
      <c r="E19" s="51" t="n">
        <f aca="false">(E18+Projection!J17)*(1+C19)</f>
        <v>38929.7110613129</v>
      </c>
      <c r="F19" s="51" t="n">
        <f aca="false">E19/(1+Inputs!B16)^(12+1)</f>
        <v>38929.7110613129</v>
      </c>
      <c r="G19" s="50" t="n">
        <f aca="false">Inputs!B17</f>
        <v>0.065</v>
      </c>
      <c r="H19" s="50" t="n">
        <f aca="false">Inputs!B16</f>
        <v>0</v>
      </c>
      <c r="I19" s="51" t="n">
        <f aca="false">(I18+Projection!J17)*(1+G19)</f>
        <v>38929.7110613129</v>
      </c>
      <c r="J19" s="51" t="n">
        <f aca="false">I19/PRODUCT(1+H$7:H19)</f>
        <v>38929.7110613129</v>
      </c>
      <c r="K19" s="50" t="n">
        <f aca="false">Inputs!B17</f>
        <v>0.065</v>
      </c>
      <c r="L19" s="50" t="n">
        <f aca="false">Inputs!B16</f>
        <v>0</v>
      </c>
      <c r="M19" s="51" t="n">
        <f aca="false">(M18+Projection!J17)*(1+K19)</f>
        <v>38929.7110613129</v>
      </c>
      <c r="N19" s="51" t="n">
        <f aca="false">M19/PRODUCT(1+L$7:L19)</f>
        <v>38929.7110613129</v>
      </c>
      <c r="O19" s="50" t="n">
        <f aca="false">Inputs!B17</f>
        <v>0.065</v>
      </c>
      <c r="P19" s="50" t="n">
        <f aca="false">Inputs!B16</f>
        <v>0</v>
      </c>
      <c r="Q19" s="51" t="n">
        <f aca="false">(Q18+Projection!J17)*(1+O19)</f>
        <v>38929.7110613129</v>
      </c>
      <c r="R19" s="51" t="n">
        <f aca="false">Q19/PRODUCT(1+P$7:P19)</f>
        <v>38929.7110613129</v>
      </c>
    </row>
    <row r="20" customFormat="false" ht="15" hidden="false" customHeight="true" outlineLevel="0" collapsed="false">
      <c r="A20" s="49" t="n">
        <v>13</v>
      </c>
      <c r="B20" s="49" t="n">
        <v>13</v>
      </c>
      <c r="C20" s="50" t="n">
        <f aca="false">Inputs!B17</f>
        <v>0.065</v>
      </c>
      <c r="D20" s="50" t="n">
        <f aca="false">Inputs!B16</f>
        <v>0</v>
      </c>
      <c r="E20" s="51" t="n">
        <f aca="false">(E19+Projection!J18)*(1+C20)</f>
        <v>43407.3603407727</v>
      </c>
      <c r="F20" s="51" t="n">
        <f aca="false">E20/(1+Inputs!B16)^(13+1)</f>
        <v>43407.3603407727</v>
      </c>
      <c r="G20" s="50" t="n">
        <f aca="false">Inputs!B17</f>
        <v>0.065</v>
      </c>
      <c r="H20" s="50" t="n">
        <f aca="false">Inputs!B16</f>
        <v>0</v>
      </c>
      <c r="I20" s="51" t="n">
        <f aca="false">(I19+Projection!J18)*(1+G20)</f>
        <v>43407.3603407727</v>
      </c>
      <c r="J20" s="51" t="n">
        <f aca="false">I20/PRODUCT(1+H$7:H20)</f>
        <v>43407.3603407727</v>
      </c>
      <c r="K20" s="50" t="n">
        <f aca="false">Inputs!B17</f>
        <v>0.065</v>
      </c>
      <c r="L20" s="50" t="n">
        <f aca="false">Inputs!B16</f>
        <v>0</v>
      </c>
      <c r="M20" s="51" t="n">
        <f aca="false">(M19+Projection!J18)*(1+K20)</f>
        <v>43407.3603407727</v>
      </c>
      <c r="N20" s="51" t="n">
        <f aca="false">M20/PRODUCT(1+L$7:L20)</f>
        <v>43407.3603407727</v>
      </c>
      <c r="O20" s="50" t="n">
        <f aca="false">Inputs!B17</f>
        <v>0.065</v>
      </c>
      <c r="P20" s="50" t="n">
        <f aca="false">Inputs!B16</f>
        <v>0</v>
      </c>
      <c r="Q20" s="51" t="n">
        <f aca="false">(Q19+Projection!J18)*(1+O20)</f>
        <v>43407.3603407727</v>
      </c>
      <c r="R20" s="51" t="n">
        <f aca="false">Q20/PRODUCT(1+P$7:P20)</f>
        <v>43407.3603407727</v>
      </c>
    </row>
    <row r="21" customFormat="false" ht="15" hidden="false" customHeight="true" outlineLevel="0" collapsed="false">
      <c r="A21" s="49" t="n">
        <v>14</v>
      </c>
      <c r="B21" s="49" t="n">
        <v>14</v>
      </c>
      <c r="C21" s="50" t="n">
        <f aca="false">Inputs!B17</f>
        <v>0.065</v>
      </c>
      <c r="D21" s="50" t="n">
        <f aca="false">Inputs!B16</f>
        <v>0</v>
      </c>
      <c r="E21" s="51" t="n">
        <f aca="false">(E20+Projection!J19)*(1+C21)</f>
        <v>48205.1197795238</v>
      </c>
      <c r="F21" s="51" t="n">
        <f aca="false">E21/(1+Inputs!B16)^(14+1)</f>
        <v>48205.1197795238</v>
      </c>
      <c r="G21" s="50" t="n">
        <f aca="false">Inputs!B17</f>
        <v>0.065</v>
      </c>
      <c r="H21" s="50" t="n">
        <f aca="false">Inputs!B16</f>
        <v>0</v>
      </c>
      <c r="I21" s="51" t="n">
        <f aca="false">(I20+Projection!J19)*(1+G21)</f>
        <v>48205.1197795238</v>
      </c>
      <c r="J21" s="51" t="n">
        <f aca="false">I21/PRODUCT(1+H$7:H21)</f>
        <v>48205.1197795238</v>
      </c>
      <c r="K21" s="50" t="n">
        <f aca="false">Inputs!B17</f>
        <v>0.065</v>
      </c>
      <c r="L21" s="50" t="n">
        <f aca="false">Inputs!B16</f>
        <v>0</v>
      </c>
      <c r="M21" s="51" t="n">
        <f aca="false">(M20+Projection!J19)*(1+K21)</f>
        <v>48205.1197795238</v>
      </c>
      <c r="N21" s="51" t="n">
        <f aca="false">M21/PRODUCT(1+L$7:L21)</f>
        <v>48205.1197795238</v>
      </c>
      <c r="O21" s="50" t="n">
        <f aca="false">Inputs!B17</f>
        <v>0.065</v>
      </c>
      <c r="P21" s="50" t="n">
        <f aca="false">Inputs!B16</f>
        <v>0</v>
      </c>
      <c r="Q21" s="51" t="n">
        <f aca="false">(Q20+Projection!J19)*(1+O21)</f>
        <v>48205.1197795238</v>
      </c>
      <c r="R21" s="51" t="n">
        <f aca="false">Q21/PRODUCT(1+P$7:P21)</f>
        <v>48205.1197795238</v>
      </c>
    </row>
    <row r="22" customFormat="false" ht="15" hidden="false" customHeight="true" outlineLevel="0" collapsed="false">
      <c r="A22" s="49" t="n">
        <v>15</v>
      </c>
      <c r="B22" s="49" t="n">
        <v>15</v>
      </c>
      <c r="C22" s="50" t="n">
        <f aca="false">Inputs!B17</f>
        <v>0.065</v>
      </c>
      <c r="D22" s="50" t="n">
        <f aca="false">Inputs!B16</f>
        <v>0</v>
      </c>
      <c r="E22" s="51" t="n">
        <f aca="false">(E21+Projection!J20)*(1+C22)</f>
        <v>53344.2303133849</v>
      </c>
      <c r="F22" s="51" t="n">
        <f aca="false">E22/(1+Inputs!B16)^(15+1)</f>
        <v>53344.2303133849</v>
      </c>
      <c r="G22" s="50" t="n">
        <f aca="false">Inputs!B17</f>
        <v>0.065</v>
      </c>
      <c r="H22" s="50" t="n">
        <f aca="false">Inputs!B16</f>
        <v>0</v>
      </c>
      <c r="I22" s="51" t="n">
        <f aca="false">(I21+Projection!J20)*(1+G22)</f>
        <v>53344.2303133849</v>
      </c>
      <c r="J22" s="51" t="n">
        <f aca="false">I22/PRODUCT(1+H$7:H22)</f>
        <v>53344.2303133849</v>
      </c>
      <c r="K22" s="50" t="n">
        <f aca="false">Inputs!B17</f>
        <v>0.065</v>
      </c>
      <c r="L22" s="50" t="n">
        <f aca="false">Inputs!B16</f>
        <v>0</v>
      </c>
      <c r="M22" s="51" t="n">
        <f aca="false">(M21+Projection!J20)*(1+K22)</f>
        <v>53344.2303133849</v>
      </c>
      <c r="N22" s="51" t="n">
        <f aca="false">M22/PRODUCT(1+L$7:L22)</f>
        <v>53344.2303133849</v>
      </c>
      <c r="O22" s="50" t="n">
        <f aca="false">Inputs!B17</f>
        <v>0.065</v>
      </c>
      <c r="P22" s="50" t="n">
        <f aca="false">Inputs!B16</f>
        <v>0</v>
      </c>
      <c r="Q22" s="51" t="n">
        <f aca="false">(Q21+Projection!J20)*(1+O22)</f>
        <v>53344.2303133849</v>
      </c>
      <c r="R22" s="51" t="n">
        <f aca="false">Q22/PRODUCT(1+P$7:P22)</f>
        <v>53344.2303133849</v>
      </c>
    </row>
    <row r="23" customFormat="false" ht="15" hidden="false" customHeight="true" outlineLevel="0" collapsed="false">
      <c r="A23" s="49" t="n">
        <v>16</v>
      </c>
      <c r="B23" s="49" t="n">
        <v>16</v>
      </c>
      <c r="C23" s="50" t="n">
        <f aca="false">Inputs!B17</f>
        <v>0.065</v>
      </c>
      <c r="D23" s="50" t="n">
        <f aca="false">Inputs!B16</f>
        <v>0</v>
      </c>
      <c r="E23" s="51" t="n">
        <f aca="false">(E22+Projection!J21)*(1+C23)</f>
        <v>58847.3200132632</v>
      </c>
      <c r="F23" s="51" t="n">
        <f aca="false">E23/(1+Inputs!B16)^(16+1)</f>
        <v>58847.3200132632</v>
      </c>
      <c r="G23" s="50" t="n">
        <f aca="false">Inputs!B17</f>
        <v>0.065</v>
      </c>
      <c r="H23" s="50" t="n">
        <f aca="false">Inputs!B16</f>
        <v>0</v>
      </c>
      <c r="I23" s="51" t="n">
        <f aca="false">(I22+Projection!J21)*(1+G23)</f>
        <v>58847.3200132632</v>
      </c>
      <c r="J23" s="51" t="n">
        <f aca="false">I23/PRODUCT(1+H$7:H23)</f>
        <v>58847.3200132632</v>
      </c>
      <c r="K23" s="50" t="n">
        <f aca="false">Inputs!B17</f>
        <v>0.065</v>
      </c>
      <c r="L23" s="50" t="n">
        <f aca="false">Inputs!B16</f>
        <v>0</v>
      </c>
      <c r="M23" s="51" t="n">
        <f aca="false">(M22+Projection!J21)*(1+K23)</f>
        <v>58847.3200132632</v>
      </c>
      <c r="N23" s="51" t="n">
        <f aca="false">M23/PRODUCT(1+L$7:L23)</f>
        <v>58847.3200132632</v>
      </c>
      <c r="O23" s="50" t="n">
        <f aca="false">Inputs!B17</f>
        <v>0.065</v>
      </c>
      <c r="P23" s="50" t="n">
        <f aca="false">Inputs!B16</f>
        <v>0</v>
      </c>
      <c r="Q23" s="51" t="n">
        <f aca="false">(Q22+Projection!J21)*(1+O23)</f>
        <v>58847.3200132632</v>
      </c>
      <c r="R23" s="51" t="n">
        <f aca="false">Q23/PRODUCT(1+P$7:P23)</f>
        <v>58847.3200132632</v>
      </c>
    </row>
    <row r="24" customFormat="false" ht="15" hidden="false" customHeight="true" outlineLevel="0" collapsed="false">
      <c r="A24" s="49" t="n">
        <v>17</v>
      </c>
      <c r="B24" s="49" t="n">
        <v>17</v>
      </c>
      <c r="C24" s="50" t="n">
        <f aca="false">Inputs!B17</f>
        <v>0.065</v>
      </c>
      <c r="D24" s="50" t="n">
        <f aca="false">Inputs!B16</f>
        <v>0</v>
      </c>
      <c r="E24" s="51" t="n">
        <f aca="false">(E23+Projection!J22)*(1+C24)</f>
        <v>64738.4943455666</v>
      </c>
      <c r="F24" s="51" t="n">
        <f aca="false">E24/(1+Inputs!B16)^(17+1)</f>
        <v>64738.4943455666</v>
      </c>
      <c r="G24" s="50" t="n">
        <f aca="false">Inputs!B17</f>
        <v>0.065</v>
      </c>
      <c r="H24" s="50" t="n">
        <f aca="false">Inputs!B16</f>
        <v>0</v>
      </c>
      <c r="I24" s="51" t="n">
        <f aca="false">(I23+Projection!J22)*(1+G24)</f>
        <v>64738.4943455666</v>
      </c>
      <c r="J24" s="51" t="n">
        <f aca="false">I24/PRODUCT(1+H$7:H24)</f>
        <v>64738.4943455666</v>
      </c>
      <c r="K24" s="50" t="n">
        <f aca="false">Inputs!B17</f>
        <v>0.065</v>
      </c>
      <c r="L24" s="50" t="n">
        <f aca="false">Inputs!B16</f>
        <v>0</v>
      </c>
      <c r="M24" s="51" t="n">
        <f aca="false">(M23+Projection!J22)*(1+K24)</f>
        <v>64738.4943455666</v>
      </c>
      <c r="N24" s="51" t="n">
        <f aca="false">M24/PRODUCT(1+L$7:L24)</f>
        <v>64738.4943455666</v>
      </c>
      <c r="O24" s="50" t="n">
        <f aca="false">Inputs!B17</f>
        <v>0.065</v>
      </c>
      <c r="P24" s="50" t="n">
        <f aca="false">Inputs!B16</f>
        <v>0</v>
      </c>
      <c r="Q24" s="51" t="n">
        <f aca="false">(Q23+Projection!J22)*(1+O24)</f>
        <v>64738.4943455666</v>
      </c>
      <c r="R24" s="51" t="n">
        <f aca="false">Q24/PRODUCT(1+P$7:P24)</f>
        <v>64738.4943455666</v>
      </c>
    </row>
    <row r="25" customFormat="false" ht="15" hidden="false" customHeight="true" outlineLevel="0" collapsed="false">
      <c r="A25" s="49" t="n">
        <v>18</v>
      </c>
      <c r="B25" s="49" t="n">
        <v>18</v>
      </c>
      <c r="C25" s="50" t="n">
        <f aca="false">Inputs!B17</f>
        <v>0.065</v>
      </c>
      <c r="D25" s="50" t="n">
        <f aca="false">Inputs!B16</f>
        <v>0</v>
      </c>
      <c r="E25" s="51" t="n">
        <f aca="false">(E24+Projection!J23)*(1+C25)</f>
        <v>71043.4323009837</v>
      </c>
      <c r="F25" s="51" t="n">
        <f aca="false">E25/(1+Inputs!B16)^(18+1)</f>
        <v>71043.4323009837</v>
      </c>
      <c r="G25" s="50" t="n">
        <f aca="false">Inputs!B17</f>
        <v>0.065</v>
      </c>
      <c r="H25" s="50" t="n">
        <f aca="false">Inputs!B16</f>
        <v>0</v>
      </c>
      <c r="I25" s="51" t="n">
        <f aca="false">(I24+Projection!J23)*(1+G25)</f>
        <v>71043.4323009837</v>
      </c>
      <c r="J25" s="51" t="n">
        <f aca="false">I25/PRODUCT(1+H$7:H25)</f>
        <v>71043.4323009837</v>
      </c>
      <c r="K25" s="50" t="n">
        <f aca="false">Inputs!B17</f>
        <v>0.065</v>
      </c>
      <c r="L25" s="50" t="n">
        <f aca="false">Inputs!B16</f>
        <v>0</v>
      </c>
      <c r="M25" s="51" t="n">
        <f aca="false">(M24+Projection!J23)*(1+K25)</f>
        <v>71043.4323009837</v>
      </c>
      <c r="N25" s="51" t="n">
        <f aca="false">M25/PRODUCT(1+L$7:L25)</f>
        <v>71043.4323009837</v>
      </c>
      <c r="O25" s="50" t="n">
        <f aca="false">Inputs!B17</f>
        <v>0.065</v>
      </c>
      <c r="P25" s="50" t="n">
        <f aca="false">Inputs!B16</f>
        <v>0</v>
      </c>
      <c r="Q25" s="51" t="n">
        <f aca="false">(Q24+Projection!J23)*(1+O25)</f>
        <v>71043.4323009837</v>
      </c>
      <c r="R25" s="51" t="n">
        <f aca="false">Q25/PRODUCT(1+P$7:P25)</f>
        <v>71043.4323009837</v>
      </c>
    </row>
    <row r="26" customFormat="false" ht="15" hidden="false" customHeight="true" outlineLevel="0" collapsed="false">
      <c r="A26" s="49" t="n">
        <v>19</v>
      </c>
      <c r="B26" s="49" t="n">
        <v>19</v>
      </c>
      <c r="C26" s="50" t="n">
        <f aca="false">Inputs!B17</f>
        <v>0.065</v>
      </c>
      <c r="D26" s="50" t="n">
        <f aca="false">Inputs!B16</f>
        <v>0</v>
      </c>
      <c r="E26" s="51" t="n">
        <f aca="false">(E25+Projection!J24)*(1+C26)</f>
        <v>77789.4887730993</v>
      </c>
      <c r="F26" s="51" t="n">
        <f aca="false">E26/(1+Inputs!B16)^(19+1)</f>
        <v>77789.4887730993</v>
      </c>
      <c r="G26" s="50" t="n">
        <f aca="false">Inputs!B17</f>
        <v>0.065</v>
      </c>
      <c r="H26" s="50" t="n">
        <f aca="false">Inputs!B16</f>
        <v>0</v>
      </c>
      <c r="I26" s="51" t="n">
        <f aca="false">(I25+Projection!J24)*(1+G26)</f>
        <v>77789.4887730993</v>
      </c>
      <c r="J26" s="51" t="n">
        <f aca="false">I26/PRODUCT(1+H$7:H26)</f>
        <v>77789.4887730993</v>
      </c>
      <c r="K26" s="50" t="n">
        <f aca="false">Inputs!B17</f>
        <v>0.065</v>
      </c>
      <c r="L26" s="50" t="n">
        <f aca="false">Inputs!B16</f>
        <v>0</v>
      </c>
      <c r="M26" s="51" t="n">
        <f aca="false">(M25+Projection!J24)*(1+K26)</f>
        <v>77789.4887730993</v>
      </c>
      <c r="N26" s="51" t="n">
        <f aca="false">M26/PRODUCT(1+L$7:L26)</f>
        <v>77789.4887730993</v>
      </c>
      <c r="O26" s="50" t="n">
        <f aca="false">Inputs!B17</f>
        <v>0.065</v>
      </c>
      <c r="P26" s="50" t="n">
        <f aca="false">Inputs!B16</f>
        <v>0</v>
      </c>
      <c r="Q26" s="51" t="n">
        <f aca="false">(Q25+Projection!J24)*(1+O26)</f>
        <v>77789.4887730993</v>
      </c>
      <c r="R26" s="51" t="n">
        <f aca="false">Q26/PRODUCT(1+P$7:P26)</f>
        <v>77789.4887730993</v>
      </c>
    </row>
    <row r="27" customFormat="false" ht="15" hidden="false" customHeight="true" outlineLevel="0" collapsed="false">
      <c r="A27" s="49" t="n">
        <v>20</v>
      </c>
      <c r="B27" s="49" t="n">
        <v>20</v>
      </c>
      <c r="C27" s="50" t="n">
        <f aca="false">Inputs!B17</f>
        <v>0.065</v>
      </c>
      <c r="D27" s="50" t="n">
        <f aca="false">Inputs!B16</f>
        <v>0</v>
      </c>
      <c r="E27" s="51" t="n">
        <f aca="false">(E26+Projection!J25)*(1+C27)</f>
        <v>85005.8035931047</v>
      </c>
      <c r="F27" s="51" t="n">
        <f aca="false">E27/(1+Inputs!B16)^(20+1)</f>
        <v>85005.8035931047</v>
      </c>
      <c r="G27" s="50" t="n">
        <f aca="false">Inputs!B17</f>
        <v>0.065</v>
      </c>
      <c r="H27" s="50" t="n">
        <f aca="false">Inputs!B16</f>
        <v>0</v>
      </c>
      <c r="I27" s="51" t="n">
        <f aca="false">(I26+Projection!J25)*(1+G27)</f>
        <v>85005.8035931047</v>
      </c>
      <c r="J27" s="51" t="n">
        <f aca="false">I27/PRODUCT(1+H$7:H27)</f>
        <v>85005.8035931047</v>
      </c>
      <c r="K27" s="50" t="n">
        <f aca="false">Inputs!B17</f>
        <v>0.065</v>
      </c>
      <c r="L27" s="50" t="n">
        <f aca="false">Inputs!B16</f>
        <v>0</v>
      </c>
      <c r="M27" s="51" t="n">
        <f aca="false">(M26+Projection!J25)*(1+K27)</f>
        <v>85005.8035931047</v>
      </c>
      <c r="N27" s="51" t="n">
        <f aca="false">M27/PRODUCT(1+L$7:L27)</f>
        <v>85005.8035931047</v>
      </c>
      <c r="O27" s="50" t="n">
        <f aca="false">Inputs!B17</f>
        <v>0.065</v>
      </c>
      <c r="P27" s="50" t="n">
        <f aca="false">Inputs!B16</f>
        <v>0</v>
      </c>
      <c r="Q27" s="51" t="n">
        <f aca="false">(Q26+Projection!J25)*(1+O27)</f>
        <v>85005.8035931047</v>
      </c>
      <c r="R27" s="51" t="n">
        <f aca="false">Q27/PRODUCT(1+P$7:P27)</f>
        <v>85005.8035931047</v>
      </c>
    </row>
    <row r="28" customFormat="false" ht="15" hidden="false" customHeight="true" outlineLevel="0" collapsed="false">
      <c r="A28" s="49" t="n">
        <v>21</v>
      </c>
      <c r="B28" s="49" t="n">
        <v>21</v>
      </c>
      <c r="C28" s="50" t="n">
        <f aca="false">Inputs!B17</f>
        <v>0.065</v>
      </c>
      <c r="D28" s="50" t="n">
        <f aca="false">Inputs!B16</f>
        <v>0</v>
      </c>
      <c r="E28" s="51" t="n">
        <f aca="false">(E27+Projection!J26)*(1+C28)</f>
        <v>92723.4176532724</v>
      </c>
      <c r="F28" s="51" t="n">
        <f aca="false">E28/(1+Inputs!B16)^(21+1)</f>
        <v>92723.4176532724</v>
      </c>
      <c r="G28" s="50" t="n">
        <f aca="false">Inputs!B17</f>
        <v>0.065</v>
      </c>
      <c r="H28" s="50" t="n">
        <f aca="false">Inputs!B16</f>
        <v>0</v>
      </c>
      <c r="I28" s="51" t="n">
        <f aca="false">(I27+Projection!J26)*(1+G28)</f>
        <v>92723.4176532724</v>
      </c>
      <c r="J28" s="51" t="n">
        <f aca="false">I28/PRODUCT(1+H$7:H28)</f>
        <v>92723.4176532724</v>
      </c>
      <c r="K28" s="50" t="n">
        <f aca="false">Inputs!B17</f>
        <v>0.065</v>
      </c>
      <c r="L28" s="50" t="n">
        <f aca="false">Inputs!B16</f>
        <v>0</v>
      </c>
      <c r="M28" s="51" t="n">
        <f aca="false">(M27+Projection!J26)*(1+K28)</f>
        <v>92723.4176532724</v>
      </c>
      <c r="N28" s="51" t="n">
        <f aca="false">M28/PRODUCT(1+L$7:L28)</f>
        <v>92723.4176532724</v>
      </c>
      <c r="O28" s="50" t="n">
        <f aca="false">Inputs!B17</f>
        <v>0.065</v>
      </c>
      <c r="P28" s="50" t="n">
        <f aca="false">Inputs!B16</f>
        <v>0</v>
      </c>
      <c r="Q28" s="51" t="n">
        <f aca="false">(Q27+Projection!J26)*(1+O28)</f>
        <v>92723.4176532724</v>
      </c>
      <c r="R28" s="51" t="n">
        <f aca="false">Q28/PRODUCT(1+P$7:P28)</f>
        <v>92723.4176532724</v>
      </c>
    </row>
    <row r="29" customFormat="false" ht="15" hidden="false" customHeight="true" outlineLevel="0" collapsed="false">
      <c r="A29" s="49" t="n">
        <v>22</v>
      </c>
      <c r="B29" s="49" t="n">
        <v>22</v>
      </c>
      <c r="C29" s="50" t="n">
        <f aca="false">Inputs!B17</f>
        <v>0.065</v>
      </c>
      <c r="D29" s="50" t="n">
        <f aca="false">Inputs!B16</f>
        <v>0</v>
      </c>
      <c r="E29" s="51" t="n">
        <f aca="false">(E28+Projection!J27)*(1+C29)</f>
        <v>100975.396579987</v>
      </c>
      <c r="F29" s="51" t="n">
        <f aca="false">E29/(1+Inputs!B16)^(22+1)</f>
        <v>100975.396579987</v>
      </c>
      <c r="G29" s="50" t="n">
        <f aca="false">Inputs!B17</f>
        <v>0.065</v>
      </c>
      <c r="H29" s="50" t="n">
        <f aca="false">Inputs!B16</f>
        <v>0</v>
      </c>
      <c r="I29" s="51" t="n">
        <f aca="false">(I28+Projection!J27)*(1+G29)</f>
        <v>100975.396579987</v>
      </c>
      <c r="J29" s="51" t="n">
        <f aca="false">I29/PRODUCT(1+H$7:H29)</f>
        <v>100975.396579987</v>
      </c>
      <c r="K29" s="50" t="n">
        <f aca="false">Inputs!B17</f>
        <v>0.065</v>
      </c>
      <c r="L29" s="50" t="n">
        <f aca="false">Inputs!B16</f>
        <v>0</v>
      </c>
      <c r="M29" s="51" t="n">
        <f aca="false">(M28+Projection!J27)*(1+K29)</f>
        <v>100975.396579987</v>
      </c>
      <c r="N29" s="51" t="n">
        <f aca="false">M29/PRODUCT(1+L$7:L29)</f>
        <v>100975.396579987</v>
      </c>
      <c r="O29" s="50" t="n">
        <f aca="false">Inputs!B17</f>
        <v>0.065</v>
      </c>
      <c r="P29" s="50" t="n">
        <f aca="false">Inputs!B16</f>
        <v>0</v>
      </c>
      <c r="Q29" s="51" t="n">
        <f aca="false">(Q28+Projection!J27)*(1+O29)</f>
        <v>100975.396579987</v>
      </c>
      <c r="R29" s="51" t="n">
        <f aca="false">Q29/PRODUCT(1+P$7:P29)</f>
        <v>100975.396579987</v>
      </c>
    </row>
    <row r="30" customFormat="false" ht="15" hidden="false" customHeight="true" outlineLevel="0" collapsed="false">
      <c r="A30" s="49" t="n">
        <v>23</v>
      </c>
      <c r="B30" s="49" t="n">
        <v>23</v>
      </c>
      <c r="C30" s="50" t="n">
        <f aca="false">Inputs!B17</f>
        <v>0.065</v>
      </c>
      <c r="D30" s="50" t="n">
        <f aca="false">Inputs!B16</f>
        <v>0</v>
      </c>
      <c r="E30" s="51" t="n">
        <f aca="false">(E29+Projection!J28)*(1+C30)</f>
        <v>109796.962447076</v>
      </c>
      <c r="F30" s="51" t="n">
        <f aca="false">E30/(1+Inputs!B16)^(23+1)</f>
        <v>109796.962447076</v>
      </c>
      <c r="G30" s="50" t="n">
        <f aca="false">Inputs!B17</f>
        <v>0.065</v>
      </c>
      <c r="H30" s="50" t="n">
        <f aca="false">Inputs!B16</f>
        <v>0</v>
      </c>
      <c r="I30" s="51" t="n">
        <f aca="false">(I29+Projection!J28)*(1+G30)</f>
        <v>109796.962447076</v>
      </c>
      <c r="J30" s="51" t="n">
        <f aca="false">I30/PRODUCT(1+H$7:H30)</f>
        <v>109796.962447076</v>
      </c>
      <c r="K30" s="50" t="n">
        <f aca="false">Inputs!B17</f>
        <v>0.065</v>
      </c>
      <c r="L30" s="50" t="n">
        <f aca="false">Inputs!B16</f>
        <v>0</v>
      </c>
      <c r="M30" s="51" t="n">
        <f aca="false">(M29+Projection!J28)*(1+K30)</f>
        <v>109796.962447076</v>
      </c>
      <c r="N30" s="51" t="n">
        <f aca="false">M30/PRODUCT(1+L$7:L30)</f>
        <v>109796.962447076</v>
      </c>
      <c r="O30" s="50" t="n">
        <f aca="false">Inputs!B17</f>
        <v>0.065</v>
      </c>
      <c r="P30" s="50" t="n">
        <f aca="false">Inputs!B16</f>
        <v>0</v>
      </c>
      <c r="Q30" s="51" t="n">
        <f aca="false">(Q29+Projection!J28)*(1+O30)</f>
        <v>109796.962447076</v>
      </c>
      <c r="R30" s="51" t="n">
        <f aca="false">Q30/PRODUCT(1+P$7:P30)</f>
        <v>109796.962447076</v>
      </c>
    </row>
    <row r="31" customFormat="false" ht="15" hidden="false" customHeight="true" outlineLevel="0" collapsed="false">
      <c r="A31" s="49" t="n">
        <v>24</v>
      </c>
      <c r="B31" s="49" t="n">
        <v>24</v>
      </c>
      <c r="C31" s="50" t="n">
        <f aca="false">Inputs!B17</f>
        <v>0.065</v>
      </c>
      <c r="D31" s="50" t="n">
        <f aca="false">Inputs!B16</f>
        <v>0</v>
      </c>
      <c r="E31" s="51" t="n">
        <f aca="false">(E30+Projection!J29)*(1+C31)</f>
        <v>119225.634052084</v>
      </c>
      <c r="F31" s="51" t="n">
        <f aca="false">E31/(1+Inputs!B16)^(24+1)</f>
        <v>119225.634052084</v>
      </c>
      <c r="G31" s="50" t="n">
        <f aca="false">Inputs!B17</f>
        <v>0.065</v>
      </c>
      <c r="H31" s="50" t="n">
        <f aca="false">Inputs!B16</f>
        <v>0</v>
      </c>
      <c r="I31" s="51" t="n">
        <f aca="false">(I30+Projection!J29)*(1+G31)</f>
        <v>119225.634052084</v>
      </c>
      <c r="J31" s="51" t="n">
        <f aca="false">I31/PRODUCT(1+H$7:H31)</f>
        <v>119225.634052084</v>
      </c>
      <c r="K31" s="50" t="n">
        <f aca="false">Inputs!B17</f>
        <v>0.065</v>
      </c>
      <c r="L31" s="50" t="n">
        <f aca="false">Inputs!B16</f>
        <v>0</v>
      </c>
      <c r="M31" s="51" t="n">
        <f aca="false">(M30+Projection!J29)*(1+K31)</f>
        <v>119225.634052084</v>
      </c>
      <c r="N31" s="51" t="n">
        <f aca="false">M31/PRODUCT(1+L$7:L31)</f>
        <v>119225.634052084</v>
      </c>
      <c r="O31" s="50" t="n">
        <f aca="false">Inputs!B17</f>
        <v>0.065</v>
      </c>
      <c r="P31" s="50" t="n">
        <f aca="false">Inputs!B16</f>
        <v>0</v>
      </c>
      <c r="Q31" s="51" t="n">
        <f aca="false">(Q30+Projection!J29)*(1+O31)</f>
        <v>119225.634052084</v>
      </c>
      <c r="R31" s="51" t="n">
        <f aca="false">Q31/PRODUCT(1+P$7:P31)</f>
        <v>119225.634052084</v>
      </c>
    </row>
    <row r="32" customFormat="false" ht="15" hidden="false" customHeight="true" outlineLevel="0" collapsed="false">
      <c r="A32" s="49" t="n">
        <v>25</v>
      </c>
      <c r="B32" s="49" t="n">
        <v>25</v>
      </c>
      <c r="C32" s="50" t="n">
        <f aca="false">Inputs!B17</f>
        <v>0.065</v>
      </c>
      <c r="D32" s="50" t="n">
        <f aca="false">Inputs!B16</f>
        <v>0</v>
      </c>
      <c r="E32" s="51" t="n">
        <f aca="false">(E31+Projection!J30)*(1+C32)</f>
        <v>129301.376312104</v>
      </c>
      <c r="F32" s="51" t="n">
        <f aca="false">E32/(1+Inputs!B16)^(25+1)</f>
        <v>129301.376312104</v>
      </c>
      <c r="G32" s="52" t="n">
        <v>-0.13</v>
      </c>
      <c r="H32" s="52" t="n">
        <v>0</v>
      </c>
      <c r="I32" s="51" t="n">
        <f aca="false">(I31+Projection!J30)*(1+G32)</f>
        <v>105626.476423972</v>
      </c>
      <c r="J32" s="51" t="n">
        <f aca="false">I32/PRODUCT(1+H$7:H32)</f>
        <v>105626.476423972</v>
      </c>
      <c r="K32" s="50" t="n">
        <f aca="false">Inputs!B17</f>
        <v>0.065</v>
      </c>
      <c r="L32" s="50" t="n">
        <f aca="false">Inputs!B16</f>
        <v>0</v>
      </c>
      <c r="M32" s="51" t="n">
        <f aca="false">(M31+Projection!J30)*(1+K32)</f>
        <v>129301.376312104</v>
      </c>
      <c r="N32" s="51" t="n">
        <f aca="false">M32/PRODUCT(1+L$7:L32)</f>
        <v>129301.376312104</v>
      </c>
      <c r="O32" s="50" t="n">
        <f aca="false">Inputs!B17</f>
        <v>0.065</v>
      </c>
      <c r="P32" s="50" t="n">
        <f aca="false">Inputs!B16</f>
        <v>0</v>
      </c>
      <c r="Q32" s="51" t="n">
        <f aca="false">(Q31+Projection!J30)*(1+O32)</f>
        <v>129301.376312104</v>
      </c>
      <c r="R32" s="51" t="n">
        <f aca="false">Q32/PRODUCT(1+P$7:P32)</f>
        <v>129301.376312104</v>
      </c>
    </row>
    <row r="33" customFormat="false" ht="15" hidden="false" customHeight="true" outlineLevel="0" collapsed="false">
      <c r="A33" s="49" t="n">
        <v>26</v>
      </c>
      <c r="B33" s="49" t="n">
        <v>26</v>
      </c>
      <c r="C33" s="50" t="n">
        <f aca="false">Inputs!B17</f>
        <v>0.065</v>
      </c>
      <c r="D33" s="50" t="n">
        <f aca="false">Inputs!B16</f>
        <v>0</v>
      </c>
      <c r="E33" s="51" t="n">
        <f aca="false">(E32+Projection!J31)*(1+C33)</f>
        <v>140066.759371959</v>
      </c>
      <c r="F33" s="51" t="n">
        <f aca="false">E33/(1+Inputs!B16)^(26+1)</f>
        <v>140066.759371959</v>
      </c>
      <c r="G33" s="52" t="n">
        <v>-0.3</v>
      </c>
      <c r="H33" s="52" t="n">
        <v>-0.024</v>
      </c>
      <c r="I33" s="51" t="n">
        <f aca="false">(I32+Projection!J31)*(1+G33)</f>
        <v>75490.2288204407</v>
      </c>
      <c r="J33" s="51" t="n">
        <f aca="false">I33/PRODUCT(1+H$7:H33)</f>
        <v>77346.5459225827</v>
      </c>
      <c r="K33" s="50" t="n">
        <f aca="false">Inputs!B17</f>
        <v>0.065</v>
      </c>
      <c r="L33" s="50" t="n">
        <f aca="false">Inputs!B16</f>
        <v>0</v>
      </c>
      <c r="M33" s="51" t="n">
        <f aca="false">(M32+Projection!J31)*(1+K33)</f>
        <v>140066.759371959</v>
      </c>
      <c r="N33" s="51" t="n">
        <f aca="false">M33/PRODUCT(1+L$7:L33)</f>
        <v>140066.759371959</v>
      </c>
      <c r="O33" s="50" t="n">
        <f aca="false">Inputs!B17</f>
        <v>0.065</v>
      </c>
      <c r="P33" s="50" t="n">
        <f aca="false">Inputs!B16</f>
        <v>0</v>
      </c>
      <c r="Q33" s="51" t="n">
        <f aca="false">(Q32+Projection!J31)*(1+O33)</f>
        <v>140066.759371959</v>
      </c>
      <c r="R33" s="51" t="n">
        <f aca="false">Q33/PRODUCT(1+P$7:P33)</f>
        <v>140066.759371959</v>
      </c>
    </row>
    <row r="34" customFormat="false" ht="15" hidden="false" customHeight="true" outlineLevel="0" collapsed="false">
      <c r="A34" s="49" t="n">
        <v>27</v>
      </c>
      <c r="B34" s="49" t="n">
        <v>27</v>
      </c>
      <c r="C34" s="50" t="n">
        <f aca="false">Inputs!B17</f>
        <v>0.065</v>
      </c>
      <c r="D34" s="50" t="n">
        <f aca="false">Inputs!B16</f>
        <v>0</v>
      </c>
      <c r="E34" s="51" t="n">
        <f aca="false">(E33+Projection!J32)*(1+C34)</f>
        <v>151567.128056072</v>
      </c>
      <c r="F34" s="51" t="n">
        <f aca="false">E34/(1+Inputs!B16)^(27+1)</f>
        <v>151567.128056072</v>
      </c>
      <c r="G34" s="52" t="n">
        <v>-0.45</v>
      </c>
      <c r="H34" s="52" t="n">
        <v>-0.09</v>
      </c>
      <c r="I34" s="51" t="n">
        <f aca="false">(I33+Projection!J32)*(1+G34)</f>
        <v>42757.011887594</v>
      </c>
      <c r="J34" s="51" t="n">
        <f aca="false">I34/PRODUCT(1+H$7:H34)</f>
        <v>46985.7273490044</v>
      </c>
      <c r="K34" s="50" t="n">
        <f aca="false">Inputs!B17</f>
        <v>0.065</v>
      </c>
      <c r="L34" s="50" t="n">
        <f aca="false">Inputs!B16</f>
        <v>0</v>
      </c>
      <c r="M34" s="51" t="n">
        <f aca="false">(M33+Projection!J32)*(1+K34)</f>
        <v>151567.128056072</v>
      </c>
      <c r="N34" s="51" t="n">
        <f aca="false">M34/PRODUCT(1+L$7:L34)</f>
        <v>151567.128056072</v>
      </c>
      <c r="O34" s="50" t="n">
        <f aca="false">Inputs!B17</f>
        <v>0.065</v>
      </c>
      <c r="P34" s="50" t="n">
        <f aca="false">Inputs!B16</f>
        <v>0</v>
      </c>
      <c r="Q34" s="51" t="n">
        <f aca="false">(Q33+Projection!J32)*(1+O34)</f>
        <v>151567.128056072</v>
      </c>
      <c r="R34" s="51" t="n">
        <f aca="false">Q34/PRODUCT(1+P$7:P34)</f>
        <v>151567.128056072</v>
      </c>
    </row>
    <row r="35" customFormat="false" ht="15" hidden="false" customHeight="true" outlineLevel="0" collapsed="false">
      <c r="A35" s="49" t="n">
        <v>28</v>
      </c>
      <c r="B35" s="49" t="n">
        <v>28</v>
      </c>
      <c r="C35" s="50" t="n">
        <f aca="false">Inputs!B17</f>
        <v>0.065</v>
      </c>
      <c r="D35" s="50" t="n">
        <f aca="false">Inputs!B16</f>
        <v>0</v>
      </c>
      <c r="E35" s="51" t="n">
        <f aca="false">(E34+Projection!J33)*(1+C35)</f>
        <v>163850.782336368</v>
      </c>
      <c r="F35" s="51" t="n">
        <f aca="false">E35/(1+Inputs!B16)^(28+1)</f>
        <v>163850.782336368</v>
      </c>
      <c r="G35" s="52" t="n">
        <v>-0.1</v>
      </c>
      <c r="H35" s="52" t="n">
        <v>-0.099</v>
      </c>
      <c r="I35" s="51" t="n">
        <f aca="false">(I34+Projection!J33)*(1+G35)</f>
        <v>40536.3453100889</v>
      </c>
      <c r="J35" s="51" t="n">
        <f aca="false">I35/PRODUCT(1+H$7:H35)</f>
        <v>44990.3943508201</v>
      </c>
      <c r="K35" s="50" t="n">
        <f aca="false">Inputs!B17</f>
        <v>0.065</v>
      </c>
      <c r="L35" s="50" t="n">
        <f aca="false">Inputs!B16</f>
        <v>0</v>
      </c>
      <c r="M35" s="51" t="n">
        <f aca="false">(M34+Projection!J33)*(1+K35)</f>
        <v>163850.782336368</v>
      </c>
      <c r="N35" s="51" t="n">
        <f aca="false">M35/PRODUCT(1+L$7:L35)</f>
        <v>163850.782336368</v>
      </c>
      <c r="O35" s="50" t="n">
        <f aca="false">Inputs!B17</f>
        <v>0.065</v>
      </c>
      <c r="P35" s="50" t="n">
        <f aca="false">Inputs!B16</f>
        <v>0</v>
      </c>
      <c r="Q35" s="51" t="n">
        <f aca="false">(Q34+Projection!J33)*(1+O35)</f>
        <v>163850.782336368</v>
      </c>
      <c r="R35" s="51" t="n">
        <f aca="false">Q35/PRODUCT(1+P$7:P35)</f>
        <v>163850.782336368</v>
      </c>
    </row>
    <row r="36" customFormat="false" ht="15" hidden="false" customHeight="true" outlineLevel="0" collapsed="false">
      <c r="A36" s="49" t="n">
        <v>29</v>
      </c>
      <c r="B36" s="49" t="n">
        <v>29</v>
      </c>
      <c r="C36" s="50" t="n">
        <f aca="false">Inputs!B17</f>
        <v>0.065</v>
      </c>
      <c r="D36" s="50" t="n">
        <f aca="false">Inputs!B16</f>
        <v>0</v>
      </c>
      <c r="E36" s="51" t="n">
        <f aca="false">(E35+Projection!J34)*(1+C36)</f>
        <v>176969.169532295</v>
      </c>
      <c r="F36" s="51" t="n">
        <f aca="false">E36/(1+Inputs!B16)^(29+1)</f>
        <v>176969.169532295</v>
      </c>
      <c r="G36" s="52" t="n">
        <v>0.55</v>
      </c>
      <c r="H36" s="52" t="n">
        <v>0.008</v>
      </c>
      <c r="I36" s="51" t="n">
        <f aca="false">(I35+Projection!J34)*(1+G36)</f>
        <v>66423.385778336</v>
      </c>
      <c r="J36" s="51" t="n">
        <f aca="false">I36/PRODUCT(1+H$7:H36)</f>
        <v>65896.2160499365</v>
      </c>
      <c r="K36" s="50" t="n">
        <f aca="false">Inputs!B17</f>
        <v>0.065</v>
      </c>
      <c r="L36" s="50" t="n">
        <f aca="false">Inputs!B16</f>
        <v>0</v>
      </c>
      <c r="M36" s="51" t="n">
        <f aca="false">(M35+Projection!J34)*(1+K36)</f>
        <v>176969.169532295</v>
      </c>
      <c r="N36" s="51" t="n">
        <f aca="false">M36/PRODUCT(1+L$7:L36)</f>
        <v>176969.169532295</v>
      </c>
      <c r="O36" s="50" t="n">
        <f aca="false">Inputs!B17</f>
        <v>0.065</v>
      </c>
      <c r="P36" s="50" t="n">
        <f aca="false">Inputs!B16</f>
        <v>0</v>
      </c>
      <c r="Q36" s="51" t="n">
        <f aca="false">(Q35+Projection!J34)*(1+O36)</f>
        <v>176969.169532295</v>
      </c>
      <c r="R36" s="51" t="n">
        <f aca="false">Q36/PRODUCT(1+P$7:P36)</f>
        <v>176969.169532295</v>
      </c>
    </row>
    <row r="37" customFormat="false" ht="15" hidden="false" customHeight="true" outlineLevel="0" collapsed="false">
      <c r="A37" s="49" t="n">
        <v>30</v>
      </c>
      <c r="B37" s="49" t="n">
        <v>30</v>
      </c>
      <c r="C37" s="50" t="n">
        <f aca="false">Inputs!B17</f>
        <v>0.065</v>
      </c>
      <c r="D37" s="50" t="n">
        <f aca="false">Inputs!B16</f>
        <v>0</v>
      </c>
      <c r="E37" s="51" t="n">
        <f aca="false">(E36+Projection!J35)*(1+C37)</f>
        <v>190977.089005571</v>
      </c>
      <c r="F37" s="51" t="n">
        <f aca="false">E37/(1+Inputs!B16)^(30+1)</f>
        <v>190977.089005571</v>
      </c>
      <c r="G37" s="52" t="n">
        <v>-0.02</v>
      </c>
      <c r="H37" s="52" t="n">
        <v>0.014</v>
      </c>
      <c r="I37" s="51" t="n">
        <f aca="false">(I36+Projection!J35)*(1+G37)</f>
        <v>67399.918048312</v>
      </c>
      <c r="J37" s="51" t="n">
        <f aca="false">I37/PRODUCT(1+H$7:H37)</f>
        <v>66469.3471876844</v>
      </c>
      <c r="K37" s="52" t="n">
        <v>-0.1</v>
      </c>
      <c r="L37" s="52" t="n">
        <v>0.029</v>
      </c>
      <c r="M37" s="51" t="n">
        <f aca="false">(M36+Projection!J35)*(1+K37)</f>
        <v>161389.089300482</v>
      </c>
      <c r="N37" s="51" t="n">
        <f aca="false">M37/PRODUCT(1+L$7:L37)</f>
        <v>156840.708746825</v>
      </c>
      <c r="O37" s="50" t="n">
        <f aca="false">Inputs!B17</f>
        <v>0.065</v>
      </c>
      <c r="P37" s="50" t="n">
        <f aca="false">Inputs!B16</f>
        <v>0</v>
      </c>
      <c r="Q37" s="51" t="n">
        <f aca="false">(Q36+Projection!J35)*(1+O37)</f>
        <v>190977.089005571</v>
      </c>
      <c r="R37" s="51" t="n">
        <f aca="false">Q37/PRODUCT(1+P$7:P37)</f>
        <v>190977.089005571</v>
      </c>
    </row>
    <row r="38" customFormat="false" ht="15" hidden="false" customHeight="true" outlineLevel="0" collapsed="false">
      <c r="A38" s="49" t="n">
        <v>31</v>
      </c>
      <c r="B38" s="49" t="n">
        <v>31</v>
      </c>
      <c r="C38" s="50" t="n">
        <f aca="false">Inputs!B17</f>
        <v>0.065</v>
      </c>
      <c r="D38" s="50" t="n">
        <f aca="false">Inputs!B16</f>
        <v>0</v>
      </c>
      <c r="E38" s="51" t="n">
        <f aca="false">(E37+Projection!J36)*(1+C38)</f>
        <v>205932.910161829</v>
      </c>
      <c r="F38" s="51" t="n">
        <f aca="false">E38/(1+Inputs!B16)^(31+1)</f>
        <v>205932.910161829</v>
      </c>
      <c r="G38" s="52" t="n">
        <v>0.46</v>
      </c>
      <c r="H38" s="52" t="n">
        <v>0.029</v>
      </c>
      <c r="I38" s="51" t="n">
        <f aca="false">(I37+Projection!J36)*(1+G38)</f>
        <v>101889.113347256</v>
      </c>
      <c r="J38" s="51" t="n">
        <f aca="false">I38/PRODUCT(1+H$7:H38)</f>
        <v>99017.6028641946</v>
      </c>
      <c r="K38" s="52" t="n">
        <v>0.24</v>
      </c>
      <c r="L38" s="52" t="n">
        <v>0.031</v>
      </c>
      <c r="M38" s="51" t="n">
        <f aca="false">(M37+Projection!J36)*(1+K38)</f>
        <v>203082.531633923</v>
      </c>
      <c r="N38" s="51" t="n">
        <f aca="false">M38/PRODUCT(1+L$7:L38)</f>
        <v>196976.267346191</v>
      </c>
      <c r="O38" s="50" t="n">
        <f aca="false">Inputs!B17</f>
        <v>0.065</v>
      </c>
      <c r="P38" s="50" t="n">
        <f aca="false">Inputs!B16</f>
        <v>0</v>
      </c>
      <c r="Q38" s="51" t="n">
        <f aca="false">(Q37+Projection!J36)*(1+O38)</f>
        <v>205932.910161829</v>
      </c>
      <c r="R38" s="51" t="n">
        <f aca="false">Q38/PRODUCT(1+P$7:P38)</f>
        <v>205932.910161829</v>
      </c>
    </row>
    <row r="39" customFormat="false" ht="15" hidden="false" customHeight="true" outlineLevel="0" collapsed="false">
      <c r="A39" s="49" t="n">
        <v>32</v>
      </c>
      <c r="B39" s="49" t="n">
        <v>32</v>
      </c>
      <c r="C39" s="50" t="n">
        <f aca="false">Inputs!B17</f>
        <v>0.065</v>
      </c>
      <c r="D39" s="50" t="n">
        <f aca="false">Inputs!B16</f>
        <v>0</v>
      </c>
      <c r="E39" s="51" t="n">
        <f aca="false">(E38+Projection!J37)*(1+C39)</f>
        <v>221898.804624152</v>
      </c>
      <c r="F39" s="51" t="n">
        <f aca="false">E39/(1+Inputs!B16)^(32+1)</f>
        <v>221898.804624152</v>
      </c>
      <c r="G39" s="52" t="n">
        <v>0.32</v>
      </c>
      <c r="H39" s="52" t="n">
        <v>0.012</v>
      </c>
      <c r="I39" s="51" t="n">
        <f aca="false">(I38+Projection!J37)*(1+G39)</f>
        <v>137691.692527657</v>
      </c>
      <c r="J39" s="51" t="n">
        <f aca="false">I39/PRODUCT(1+H$7:H39)</f>
        <v>136058.984711123</v>
      </c>
      <c r="K39" s="52" t="n">
        <v>0.11</v>
      </c>
      <c r="L39" s="52" t="n">
        <v>0.044</v>
      </c>
      <c r="M39" s="51" t="n">
        <f aca="false">(M38+Projection!J37)*(1+K39)</f>
        <v>228110.890287366</v>
      </c>
      <c r="N39" s="51" t="n">
        <f aca="false">M39/PRODUCT(1+L$7:L39)</f>
        <v>218497.021348052</v>
      </c>
      <c r="O39" s="50" t="n">
        <f aca="false">Inputs!B17</f>
        <v>0.065</v>
      </c>
      <c r="P39" s="50" t="n">
        <f aca="false">Inputs!B16</f>
        <v>0</v>
      </c>
      <c r="Q39" s="51" t="n">
        <f aca="false">(Q38+Projection!J37)*(1+O39)</f>
        <v>221898.804624152</v>
      </c>
      <c r="R39" s="51" t="n">
        <f aca="false">Q39/PRODUCT(1+P$7:P39)</f>
        <v>221898.804624152</v>
      </c>
    </row>
    <row r="40" customFormat="false" ht="15" hidden="false" customHeight="true" outlineLevel="0" collapsed="false">
      <c r="A40" s="49" t="n">
        <v>33</v>
      </c>
      <c r="B40" s="49" t="n">
        <v>33</v>
      </c>
      <c r="C40" s="50" t="n">
        <f aca="false">Inputs!B17</f>
        <v>0.065</v>
      </c>
      <c r="D40" s="50" t="n">
        <f aca="false">Inputs!B16</f>
        <v>0</v>
      </c>
      <c r="E40" s="51" t="n">
        <f aca="false">(E39+Projection!J38)*(1+C40)</f>
        <v>238940.993499687</v>
      </c>
      <c r="F40" s="51" t="n">
        <f aca="false">E40/(1+Inputs!B16)^(33+1)</f>
        <v>238940.993499687</v>
      </c>
      <c r="G40" s="52" t="n">
        <v>-0.36</v>
      </c>
      <c r="H40" s="52" t="n">
        <v>0.029</v>
      </c>
      <c r="I40" s="51" t="n">
        <f aca="false">(I39+Projection!J38)*(1+G40)</f>
        <v>89696.402098431</v>
      </c>
      <c r="J40" s="51" t="n">
        <f aca="false">I40/PRODUCT(1+H$7:H40)</f>
        <v>87168.5151588251</v>
      </c>
      <c r="K40" s="52" t="n">
        <v>-0.08</v>
      </c>
      <c r="L40" s="52" t="n">
        <v>0.054</v>
      </c>
      <c r="M40" s="51" t="n">
        <f aca="false">(M39+Projection!J38)*(1+K40)</f>
        <v>212124.239955427</v>
      </c>
      <c r="N40" s="51" t="n">
        <f aca="false">M40/PRODUCT(1+L$7:L40)</f>
        <v>201256.394644617</v>
      </c>
      <c r="O40" s="50" t="n">
        <f aca="false">Inputs!B17</f>
        <v>0.065</v>
      </c>
      <c r="P40" s="50" t="n">
        <f aca="false">Inputs!B16</f>
        <v>0</v>
      </c>
      <c r="Q40" s="51" t="n">
        <f aca="false">(Q39+Projection!J38)*(1+O40)</f>
        <v>238940.993499687</v>
      </c>
      <c r="R40" s="51" t="n">
        <f aca="false">Q40/PRODUCT(1+P$7:P40)</f>
        <v>238940.993499687</v>
      </c>
    </row>
    <row r="41" customFormat="false" ht="15" hidden="false" customHeight="true" outlineLevel="0" collapsed="false">
      <c r="A41" s="49" t="n">
        <v>34</v>
      </c>
      <c r="B41" s="49" t="n">
        <v>34</v>
      </c>
      <c r="C41" s="50" t="n">
        <f aca="false">Inputs!B17</f>
        <v>0.065</v>
      </c>
      <c r="D41" s="50" t="n">
        <f aca="false">Inputs!B16</f>
        <v>0</v>
      </c>
      <c r="E41" s="51" t="n">
        <f aca="false">(E40+Projection!J39)*(1+C41)</f>
        <v>257130.010720416</v>
      </c>
      <c r="F41" s="51" t="n">
        <f aca="false">E41/(1+Inputs!B16)^(34+1)</f>
        <v>257130.010720416</v>
      </c>
      <c r="G41" s="52" t="n">
        <v>0.3</v>
      </c>
      <c r="H41" s="52" t="n">
        <v>-0.02</v>
      </c>
      <c r="I41" s="51" t="n">
        <f aca="false">(I40+Projection!J39)*(1+G41)</f>
        <v>119849.649898123</v>
      </c>
      <c r="J41" s="51" t="n">
        <f aca="false">I41/PRODUCT(1+H$7:H41)</f>
        <v>122295.561120534</v>
      </c>
      <c r="K41" s="52" t="n">
        <v>0.04</v>
      </c>
      <c r="L41" s="52" t="n">
        <v>0.058</v>
      </c>
      <c r="M41" s="51" t="n">
        <f aca="false">(M40+Projection!J39)*(1+K41)</f>
        <v>223204.671289774</v>
      </c>
      <c r="N41" s="51" t="n">
        <f aca="false">M41/PRODUCT(1+L$7:L41)</f>
        <v>210968.498383529</v>
      </c>
      <c r="O41" s="50" t="n">
        <f aca="false">Inputs!B17</f>
        <v>0.065</v>
      </c>
      <c r="P41" s="50" t="n">
        <f aca="false">Inputs!B16</f>
        <v>0</v>
      </c>
      <c r="Q41" s="51" t="n">
        <f aca="false">(Q40+Projection!J39)*(1+O41)</f>
        <v>257130.010720416</v>
      </c>
      <c r="R41" s="51" t="n">
        <f aca="false">Q41/PRODUCT(1+P$7:P41)</f>
        <v>257130.010720416</v>
      </c>
    </row>
    <row r="42" customFormat="false" ht="15" hidden="false" customHeight="true" outlineLevel="0" collapsed="false">
      <c r="A42" s="49" t="n">
        <v>35</v>
      </c>
      <c r="B42" s="49" t="n">
        <v>35</v>
      </c>
      <c r="C42" s="50" t="n">
        <f aca="false">Inputs!B17</f>
        <v>0.065</v>
      </c>
      <c r="D42" s="50" t="n">
        <f aca="false">Inputs!B16</f>
        <v>0</v>
      </c>
      <c r="E42" s="51" t="n">
        <f aca="false">(E41+Projection!J40)*(1+C42)</f>
        <v>276540.983502928</v>
      </c>
      <c r="F42" s="51" t="n">
        <f aca="false">E42/(1+Inputs!B16)^(35+1)</f>
        <v>276540.983502928</v>
      </c>
      <c r="G42" s="52" t="n">
        <v>0</v>
      </c>
      <c r="H42" s="52" t="n">
        <v>-0.005</v>
      </c>
      <c r="I42" s="51" t="n">
        <f aca="false">(I41+Projection!J40)*(1+G42)</f>
        <v>122382.534485621</v>
      </c>
      <c r="J42" s="51" t="n">
        <f aca="false">I42/PRODUCT(1+H$7:H42)</f>
        <v>122997.522096102</v>
      </c>
      <c r="K42" s="52" t="n">
        <v>0.14</v>
      </c>
      <c r="L42" s="52" t="n">
        <v>0.043</v>
      </c>
      <c r="M42" s="51" t="n">
        <f aca="false">(M41+Projection!J40)*(1+K42)</f>
        <v>257340.81370009</v>
      </c>
      <c r="N42" s="51" t="n">
        <f aca="false">M42/PRODUCT(1+L$7:L42)</f>
        <v>246731.36500488</v>
      </c>
      <c r="O42" s="52" t="n">
        <v>-0.09</v>
      </c>
      <c r="P42" s="52" t="n">
        <v>0.034</v>
      </c>
      <c r="Q42" s="51" t="n">
        <f aca="false">(Q41+Projection!J40)*(1+O42)</f>
        <v>236293.234730202</v>
      </c>
      <c r="R42" s="51" t="n">
        <f aca="false">Q42/PRODUCT(1+P$7:P42)</f>
        <v>228523.437843522</v>
      </c>
    </row>
    <row r="43" customFormat="false" ht="15" hidden="false" customHeight="true" outlineLevel="0" collapsed="false">
      <c r="A43" s="49" t="n">
        <v>36</v>
      </c>
      <c r="B43" s="49" t="n">
        <v>36</v>
      </c>
      <c r="C43" s="50" t="n">
        <f aca="false">Inputs!B17</f>
        <v>0.065</v>
      </c>
      <c r="D43" s="50" t="n">
        <f aca="false">Inputs!B16</f>
        <v>0</v>
      </c>
      <c r="E43" s="51" t="n">
        <f aca="false">(E42+Projection!J41)*(1+C43)</f>
        <v>297253.931039971</v>
      </c>
      <c r="F43" s="51" t="n">
        <f aca="false">E43/(1+Inputs!B16)^(36+1)</f>
        <v>297253.931039971</v>
      </c>
      <c r="G43" s="52" t="n">
        <v>-0.1</v>
      </c>
      <c r="H43" s="52" t="n">
        <v>0.01</v>
      </c>
      <c r="I43" s="51" t="n">
        <f aca="false">(I42+Projection!J41)*(1+G43)</f>
        <v>112457.900988624</v>
      </c>
      <c r="J43" s="51" t="n">
        <f aca="false">I43/PRODUCT(1+H$7:H43)</f>
        <v>111344.45642438</v>
      </c>
      <c r="K43" s="52" t="n">
        <v>0.19</v>
      </c>
      <c r="L43" s="52" t="n">
        <v>0.033</v>
      </c>
      <c r="M43" s="51" t="n">
        <f aca="false">(M42+Projection!J41)*(1+K43)</f>
        <v>309294.688016844</v>
      </c>
      <c r="N43" s="51" t="n">
        <f aca="false">M43/PRODUCT(1+L$7:L43)</f>
        <v>299414.025185715</v>
      </c>
      <c r="O43" s="52" t="n">
        <v>-0.12</v>
      </c>
      <c r="P43" s="52" t="n">
        <v>0.028</v>
      </c>
      <c r="Q43" s="51" t="n">
        <f aca="false">(Q42+Projection!J41)*(1+O43)</f>
        <v>210200.252737441</v>
      </c>
      <c r="R43" s="51" t="n">
        <f aca="false">Q43/PRODUCT(1+P$7:P43)</f>
        <v>204474.954024748</v>
      </c>
    </row>
    <row r="44" customFormat="false" ht="15" hidden="false" customHeight="true" outlineLevel="0" collapsed="false">
      <c r="A44" s="49" t="n">
        <v>37</v>
      </c>
      <c r="B44" s="49" t="n">
        <v>37</v>
      </c>
      <c r="C44" s="50" t="n">
        <f aca="false">Inputs!B17</f>
        <v>0.065</v>
      </c>
      <c r="D44" s="50" t="n">
        <f aca="false">Inputs!B16</f>
        <v>0</v>
      </c>
      <c r="E44" s="51" t="n">
        <f aca="false">(E43+Projection!J42)*(1+C44)</f>
        <v>319354.082608852</v>
      </c>
      <c r="F44" s="51" t="n">
        <f aca="false">E44/(1+Inputs!B16)^(37+1)</f>
        <v>319354.082608852</v>
      </c>
      <c r="G44" s="52" t="n">
        <v>-0.13</v>
      </c>
      <c r="H44" s="52" t="n">
        <v>0.097</v>
      </c>
      <c r="I44" s="51" t="n">
        <f aca="false">(I43+Projection!J42)*(1+G44)</f>
        <v>100108.253732982</v>
      </c>
      <c r="J44" s="51" t="n">
        <f aca="false">I44/PRODUCT(1+H$7:H44)</f>
        <v>91256.3844420986</v>
      </c>
      <c r="K44" s="52" t="n">
        <v>-0.15</v>
      </c>
      <c r="L44" s="52" t="n">
        <v>0.062</v>
      </c>
      <c r="M44" s="51" t="n">
        <f aca="false">(M43+Projection!J42)*(1+K44)</f>
        <v>265118.183540693</v>
      </c>
      <c r="N44" s="51" t="n">
        <f aca="false">M44/PRODUCT(1+L$7:L44)</f>
        <v>249640.474143779</v>
      </c>
      <c r="O44" s="52" t="n">
        <v>-0.22</v>
      </c>
      <c r="P44" s="52" t="n">
        <v>0.016</v>
      </c>
      <c r="Q44" s="51" t="n">
        <f aca="false">(Q43+Projection!J42)*(1+O44)</f>
        <v>165991.26184882</v>
      </c>
      <c r="R44" s="51" t="n">
        <f aca="false">Q44/PRODUCT(1+P$7:P44)</f>
        <v>163377.226229153</v>
      </c>
    </row>
    <row r="45" customFormat="false" ht="15" hidden="false" customHeight="true" outlineLevel="0" collapsed="false">
      <c r="A45" s="49" t="n">
        <v>38</v>
      </c>
      <c r="B45" s="49" t="n">
        <v>38</v>
      </c>
      <c r="C45" s="50" t="n">
        <f aca="false">Inputs!B17</f>
        <v>0.065</v>
      </c>
      <c r="D45" s="50" t="n">
        <f aca="false">Inputs!B16</f>
        <v>0</v>
      </c>
      <c r="E45" s="51" t="n">
        <f aca="false">(E44+Projection!J43)*(1+C45)</f>
        <v>342932.216358834</v>
      </c>
      <c r="F45" s="51" t="n">
        <f aca="false">E45/(1+Inputs!B16)^(38+1)</f>
        <v>342932.216358834</v>
      </c>
      <c r="G45" s="52" t="n">
        <v>0.2</v>
      </c>
      <c r="H45" s="52" t="n">
        <v>0.092</v>
      </c>
      <c r="I45" s="51" t="n">
        <f aca="false">(I44+Projection!J43)*(1+G45)</f>
        <v>123307.502654684</v>
      </c>
      <c r="J45" s="51" t="n">
        <f aca="false">I45/PRODUCT(1+H$7:H45)</f>
        <v>112918.958474986</v>
      </c>
      <c r="K45" s="52" t="n">
        <v>-0.27</v>
      </c>
      <c r="L45" s="52" t="n">
        <v>0.11</v>
      </c>
      <c r="M45" s="51" t="n">
        <f aca="false">(M44+Projection!J43)*(1+K45)</f>
        <v>195469.312874562</v>
      </c>
      <c r="N45" s="51" t="n">
        <f aca="false">M45/PRODUCT(1+L$7:L45)</f>
        <v>176098.480067173</v>
      </c>
      <c r="O45" s="52" t="n">
        <v>0.29</v>
      </c>
      <c r="P45" s="52" t="n">
        <v>0.023</v>
      </c>
      <c r="Q45" s="51" t="n">
        <f aca="false">(Q44+Projection!J43)*(1+O45)</f>
        <v>217544.645823216</v>
      </c>
      <c r="R45" s="51" t="n">
        <f aca="false">Q45/PRODUCT(1+P$7:P45)</f>
        <v>212653.612730417</v>
      </c>
    </row>
    <row r="46" customFormat="false" ht="15" hidden="false" customHeight="true" outlineLevel="0" collapsed="false">
      <c r="A46" s="49" t="n">
        <v>39</v>
      </c>
      <c r="B46" s="49" t="n">
        <v>39</v>
      </c>
      <c r="C46" s="50" t="n">
        <f aca="false">Inputs!B17</f>
        <v>0.065</v>
      </c>
      <c r="D46" s="50" t="n">
        <f aca="false">Inputs!B16</f>
        <v>0</v>
      </c>
      <c r="E46" s="51" t="n">
        <f aca="false">(E45+Projection!J44)*(1+C46)</f>
        <v>368085.020121675</v>
      </c>
      <c r="F46" s="51" t="n">
        <f aca="false">E46/(1+Inputs!B16)^(39+1)</f>
        <v>368085.020121675</v>
      </c>
      <c r="G46" s="52" t="n">
        <v>0.26</v>
      </c>
      <c r="H46" s="52" t="n">
        <v>0.03</v>
      </c>
      <c r="I46" s="51" t="n">
        <f aca="false">(I45+Projection!J44)*(1+G46)</f>
        <v>158753.72960912</v>
      </c>
      <c r="J46" s="51" t="n">
        <f aca="false">I46/PRODUCT(1+H$7:H46)</f>
        <v>154129.834571961</v>
      </c>
      <c r="K46" s="52" t="n">
        <v>0.37</v>
      </c>
      <c r="L46" s="52" t="n">
        <v>0.091</v>
      </c>
      <c r="M46" s="51" t="n">
        <f aca="false">(M45+Projection!J44)*(1+K46)</f>
        <v>271474.862195275</v>
      </c>
      <c r="N46" s="51" t="n">
        <f aca="false">M46/PRODUCT(1+L$7:L46)</f>
        <v>248831.221077246</v>
      </c>
      <c r="O46" s="52" t="n">
        <v>0.11</v>
      </c>
      <c r="P46" s="52" t="n">
        <v>0.027</v>
      </c>
      <c r="Q46" s="51" t="n">
        <f aca="false">(Q45+Projection!J44)*(1+O46)</f>
        <v>244457.705001295</v>
      </c>
      <c r="R46" s="51" t="n">
        <f aca="false">Q46/PRODUCT(1+P$7:P46)</f>
        <v>238030.871471563</v>
      </c>
    </row>
    <row r="47" customFormat="false" ht="15" hidden="false" customHeight="true" outlineLevel="0" collapsed="false">
      <c r="A47" s="49" t="n">
        <v>40</v>
      </c>
      <c r="B47" s="49" t="n">
        <v>40</v>
      </c>
      <c r="C47" s="50" t="n">
        <f aca="false">Inputs!B17</f>
        <v>0.065</v>
      </c>
      <c r="D47" s="50" t="n">
        <f aca="false">Inputs!B16</f>
        <v>0</v>
      </c>
      <c r="E47" s="51" t="n">
        <f aca="false">(E46+Projection!J45)*(1+C47)</f>
        <v>394915.475676855</v>
      </c>
      <c r="F47" s="51" t="n">
        <f aca="false">E47/(1+Inputs!B16)^(40+1)</f>
        <v>394915.475676855</v>
      </c>
      <c r="G47" s="52" t="n">
        <v>0.2</v>
      </c>
      <c r="H47" s="52" t="n">
        <v>0.019</v>
      </c>
      <c r="I47" s="51" t="n">
        <f aca="false">(I46+Projection!J45)*(1+G47)</f>
        <v>193777.635246179</v>
      </c>
      <c r="J47" s="51" t="n">
        <f aca="false">I47/PRODUCT(1+H$7:H47)</f>
        <v>190164.509564454</v>
      </c>
      <c r="K47" s="52" t="n">
        <v>0.24</v>
      </c>
      <c r="L47" s="52" t="n">
        <v>0.058</v>
      </c>
      <c r="M47" s="51" t="n">
        <f aca="false">(M46+Projection!J45)*(1+K47)</f>
        <v>340011.094161218</v>
      </c>
      <c r="N47" s="51" t="n">
        <f aca="false">M47/PRODUCT(1+L$7:L47)</f>
        <v>321371.54457582</v>
      </c>
      <c r="O47" s="52" t="n">
        <v>0.05</v>
      </c>
      <c r="P47" s="52" t="n">
        <v>0.034</v>
      </c>
      <c r="Q47" s="51" t="n">
        <f aca="false">(Q46+Projection!J45)*(1+O47)</f>
        <v>259544.60500219</v>
      </c>
      <c r="R47" s="51" t="n">
        <f aca="false">Q47/PRODUCT(1+P$7:P47)</f>
        <v>251010.256288385</v>
      </c>
    </row>
    <row r="48" customFormat="false" ht="15" hidden="false" customHeight="true" outlineLevel="0" collapsed="false">
      <c r="A48" s="49" t="n">
        <v>41</v>
      </c>
      <c r="B48" s="49" t="n">
        <v>41</v>
      </c>
      <c r="C48" s="50" t="n">
        <f aca="false">Inputs!B17</f>
        <v>0.065</v>
      </c>
      <c r="D48" s="50" t="n">
        <f aca="false">Inputs!B16</f>
        <v>0</v>
      </c>
      <c r="E48" s="51" t="n">
        <f aca="false">(E47+Projection!J46)*(1+C48)</f>
        <v>423533.267996066</v>
      </c>
      <c r="F48" s="51" t="n">
        <f aca="false">E48/(1+Inputs!B16)^(41+1)</f>
        <v>423533.267996066</v>
      </c>
      <c r="G48" s="50" t="n">
        <f aca="false">Inputs!B17</f>
        <v>0.065</v>
      </c>
      <c r="H48" s="50" t="n">
        <f aca="false">Inputs!B16</f>
        <v>0</v>
      </c>
      <c r="I48" s="51" t="n">
        <f aca="false">(I47+Projection!J46)*(1+G48)</f>
        <v>209321.467937396</v>
      </c>
      <c r="J48" s="51" t="n">
        <f aca="false">I48/PRODUCT(1+H$7:H48)</f>
        <v>209321.467937396</v>
      </c>
      <c r="K48" s="52" t="n">
        <v>-0.07</v>
      </c>
      <c r="L48" s="52" t="n">
        <v>0.065</v>
      </c>
      <c r="M48" s="51" t="n">
        <f aca="false">(M47+Projection!J46)*(1+K48)</f>
        <v>318784.87752505</v>
      </c>
      <c r="N48" s="51" t="n">
        <f aca="false">M48/PRODUCT(1+L$7:L48)</f>
        <v>299328.523497699</v>
      </c>
      <c r="O48" s="52" t="n">
        <v>0.16</v>
      </c>
      <c r="P48" s="52" t="n">
        <v>0.032</v>
      </c>
      <c r="Q48" s="51" t="n">
        <f aca="false">(Q47+Projection!J46)*(1+O48)</f>
        <v>304283.020886344</v>
      </c>
      <c r="R48" s="51" t="n">
        <f aca="false">Q48/PRODUCT(1+P$7:P48)</f>
        <v>294847.888455759</v>
      </c>
    </row>
    <row r="49" customFormat="false" ht="15" hidden="false" customHeight="true" outlineLevel="0" collapsed="false">
      <c r="A49" s="49" t="n">
        <v>42</v>
      </c>
      <c r="B49" s="49" t="n">
        <v>42</v>
      </c>
      <c r="C49" s="50" t="n">
        <f aca="false">Inputs!B17</f>
        <v>0.065</v>
      </c>
      <c r="D49" s="50" t="n">
        <f aca="false">Inputs!B16</f>
        <v>0</v>
      </c>
      <c r="E49" s="51" t="n">
        <f aca="false">(E48+Projection!J47)*(1+C49)</f>
        <v>454055.221090656</v>
      </c>
      <c r="F49" s="51" t="n">
        <f aca="false">E49/(1+Inputs!B16)^(42+1)</f>
        <v>454055.221090656</v>
      </c>
      <c r="G49" s="50" t="n">
        <f aca="false">Inputs!B17</f>
        <v>0.065</v>
      </c>
      <c r="H49" s="50" t="n">
        <f aca="false">Inputs!B16</f>
        <v>0</v>
      </c>
      <c r="I49" s="51" t="n">
        <f aca="false">(I48+Projection!J47)*(1+G49)</f>
        <v>225919.654028172</v>
      </c>
      <c r="J49" s="51" t="n">
        <f aca="false">I49/PRODUCT(1+H$7:H49)</f>
        <v>225919.654028172</v>
      </c>
      <c r="K49" s="52" t="n">
        <v>0.07</v>
      </c>
      <c r="L49" s="52" t="n">
        <v>0.076</v>
      </c>
      <c r="M49" s="51" t="n">
        <f aca="false">(M48+Projection!J47)*(1+K49)</f>
        <v>344106.157939676</v>
      </c>
      <c r="N49" s="51" t="n">
        <f aca="false">M49/PRODUCT(1+L$7:L49)</f>
        <v>319801.262025722</v>
      </c>
      <c r="O49" s="52" t="n">
        <v>0.05</v>
      </c>
      <c r="P49" s="52" t="n">
        <v>0.028</v>
      </c>
      <c r="Q49" s="51" t="n">
        <f aca="false">(Q48+Projection!J47)*(1+O49)</f>
        <v>322447.317666424</v>
      </c>
      <c r="R49" s="51" t="n">
        <f aca="false">Q49/PRODUCT(1+P$7:P49)</f>
        <v>313664.705901191</v>
      </c>
    </row>
    <row r="50" customFormat="false" ht="15" hidden="false" customHeight="true" outlineLevel="0" collapsed="false">
      <c r="A50" s="49" t="n">
        <v>43</v>
      </c>
      <c r="B50" s="49" t="n">
        <v>43</v>
      </c>
      <c r="C50" s="50" t="n">
        <f aca="false">Inputs!B17</f>
        <v>0.065</v>
      </c>
      <c r="D50" s="50" t="n">
        <f aca="false">Inputs!B16</f>
        <v>0</v>
      </c>
      <c r="E50" s="51" t="n">
        <f aca="false">(E49+Projection!J48)*(1+C50)</f>
        <v>486605.762191242</v>
      </c>
      <c r="F50" s="51" t="n">
        <f aca="false">E50/(1+Inputs!B16)^(43+1)</f>
        <v>486605.762191242</v>
      </c>
      <c r="G50" s="50" t="n">
        <f aca="false">Inputs!B17</f>
        <v>0.065</v>
      </c>
      <c r="H50" s="50" t="n">
        <f aca="false">Inputs!B16</f>
        <v>0</v>
      </c>
      <c r="I50" s="51" t="n">
        <f aca="false">(I49+Projection!J48)*(1+G50)</f>
        <v>243641.383269697</v>
      </c>
      <c r="J50" s="51" t="n">
        <f aca="false">I50/PRODUCT(1+H$7:H50)</f>
        <v>243641.383269697</v>
      </c>
      <c r="K50" s="52" t="n">
        <v>0.18</v>
      </c>
      <c r="L50" s="52" t="n">
        <v>0.114</v>
      </c>
      <c r="M50" s="51" t="n">
        <f aca="false">(M49+Projection!J48)*(1+K50)</f>
        <v>409410.151853362</v>
      </c>
      <c r="N50" s="51" t="n">
        <f aca="false">M50/PRODUCT(1+L$7:L50)</f>
        <v>367513.601304633</v>
      </c>
      <c r="O50" s="52" t="n">
        <v>-0.37</v>
      </c>
      <c r="P50" s="52" t="n">
        <v>0.038</v>
      </c>
      <c r="Q50" s="51" t="n">
        <f aca="false">(Q49+Projection!J48)*(1+O50)</f>
        <v>204938.316786849</v>
      </c>
      <c r="R50" s="51" t="n">
        <f aca="false">Q50/PRODUCT(1+P$7:P50)</f>
        <v>197435.757983477</v>
      </c>
    </row>
    <row r="51" customFormat="false" ht="15" hidden="false" customHeight="true" outlineLevel="0" collapsed="false">
      <c r="A51" s="49" t="n">
        <v>44</v>
      </c>
      <c r="B51" s="49" t="n">
        <v>44</v>
      </c>
      <c r="C51" s="50" t="n">
        <f aca="false">Inputs!B17</f>
        <v>0.065</v>
      </c>
      <c r="D51" s="50" t="n">
        <f aca="false">Inputs!B16</f>
        <v>0</v>
      </c>
      <c r="E51" s="51" t="n">
        <f aca="false">(E50+Projection!J49)*(1+C51)</f>
        <v>521317.416101123</v>
      </c>
      <c r="F51" s="51" t="n">
        <f aca="false">E51/(1+Inputs!B16)^(44+1)</f>
        <v>521317.416101123</v>
      </c>
      <c r="G51" s="50" t="n">
        <f aca="false">Inputs!B17</f>
        <v>0.065</v>
      </c>
      <c r="H51" s="50" t="n">
        <f aca="false">Inputs!B16</f>
        <v>0</v>
      </c>
      <c r="I51" s="51" t="n">
        <f aca="false">(I50+Projection!J49)*(1+G51)</f>
        <v>262560.352549678</v>
      </c>
      <c r="J51" s="51" t="n">
        <f aca="false">I51/PRODUCT(1+H$7:H51)</f>
        <v>262560.352549678</v>
      </c>
      <c r="K51" s="52" t="n">
        <v>0.32</v>
      </c>
      <c r="L51" s="52" t="n">
        <v>0.135</v>
      </c>
      <c r="M51" s="51" t="n">
        <f aca="false">(M50+Projection!J49)*(1+K51)</f>
        <v>544241.690366658</v>
      </c>
      <c r="N51" s="51" t="n">
        <f aca="false">M51/PRODUCT(1+L$7:L51)</f>
        <v>479508.097239346</v>
      </c>
      <c r="O51" s="52" t="n">
        <v>0.26</v>
      </c>
      <c r="P51" s="52" t="n">
        <v>-0.004</v>
      </c>
      <c r="Q51" s="51" t="n">
        <f aca="false">(Q50+Projection!J49)*(1+O51)</f>
        <v>261868.919529822</v>
      </c>
      <c r="R51" s="51" t="n">
        <f aca="false">Q51/PRODUCT(1+P$7:P51)</f>
        <v>262920.601937572</v>
      </c>
    </row>
    <row r="52" customFormat="false" ht="15" hidden="false" customHeight="true" outlineLevel="0" collapsed="false">
      <c r="A52" s="49" t="n">
        <v>45</v>
      </c>
      <c r="B52" s="49" t="n">
        <v>45</v>
      </c>
      <c r="C52" s="50" t="n">
        <f aca="false">Inputs!B17</f>
        <v>0.065</v>
      </c>
      <c r="D52" s="50" t="n">
        <f aca="false">Inputs!B16</f>
        <v>0</v>
      </c>
      <c r="E52" s="51" t="n">
        <f aca="false">(E51+Projection!J50)*(1+C52)</f>
        <v>558331.33168481</v>
      </c>
      <c r="F52" s="51" t="n">
        <f aca="false">E52/(1+Inputs!B16)^(45+1)</f>
        <v>558331.33168481</v>
      </c>
      <c r="G52" s="50" t="n">
        <f aca="false">Inputs!B17</f>
        <v>0.065</v>
      </c>
      <c r="H52" s="50" t="n">
        <f aca="false">Inputs!B16</f>
        <v>0</v>
      </c>
      <c r="I52" s="51" t="n">
        <f aca="false">(I51+Projection!J50)*(1+G52)</f>
        <v>282755.059002521</v>
      </c>
      <c r="J52" s="51" t="n">
        <f aca="false">I52/PRODUCT(1+H$7:H52)</f>
        <v>282755.059002521</v>
      </c>
      <c r="K52" s="52" t="n">
        <v>-0.05</v>
      </c>
      <c r="L52" s="52" t="n">
        <v>0.103</v>
      </c>
      <c r="M52" s="51" t="n">
        <f aca="false">(M51+Projection!J50)*(1+K52)</f>
        <v>519820.093510539</v>
      </c>
      <c r="N52" s="51" t="n">
        <f aca="false">M52/PRODUCT(1+L$7:L52)</f>
        <v>471278.41660067</v>
      </c>
      <c r="O52" s="50" t="n">
        <f aca="false">Inputs!B17</f>
        <v>0.065</v>
      </c>
      <c r="P52" s="50" t="n">
        <f aca="false">Inputs!B16</f>
        <v>0</v>
      </c>
      <c r="Q52" s="51" t="n">
        <f aca="false">(Q51+Projection!J50)*(1+O52)</f>
        <v>282018.682836375</v>
      </c>
      <c r="R52" s="51" t="n">
        <f aca="false">Q52/PRODUCT(1+P$7:P52)</f>
        <v>282018.682836375</v>
      </c>
    </row>
    <row r="53" customFormat="false" ht="15" hidden="false" customHeight="true" outlineLevel="0" collapsed="false">
      <c r="A53" s="49" t="n">
        <v>46</v>
      </c>
      <c r="B53" s="49" t="n">
        <v>46</v>
      </c>
      <c r="C53" s="50" t="n">
        <f aca="false">Inputs!B17</f>
        <v>0.065</v>
      </c>
      <c r="D53" s="50" t="n">
        <f aca="false">Inputs!B16</f>
        <v>0</v>
      </c>
      <c r="E53" s="51" t="n">
        <f aca="false">(E52+Projection!J51)*(1+C53)</f>
        <v>597797.842580498</v>
      </c>
      <c r="F53" s="51" t="n">
        <f aca="false">E53/(1+Inputs!B16)^(46+1)</f>
        <v>597797.842580498</v>
      </c>
      <c r="G53" s="50" t="n">
        <f aca="false">Inputs!B17</f>
        <v>0.065</v>
      </c>
      <c r="H53" s="50" t="n">
        <f aca="false">Inputs!B16</f>
        <v>0</v>
      </c>
      <c r="I53" s="51" t="n">
        <f aca="false">(I52+Projection!J51)*(1+G53)</f>
        <v>304309.11217386</v>
      </c>
      <c r="J53" s="51" t="n">
        <f aca="false">I53/PRODUCT(1+H$7:H53)</f>
        <v>304309.11217386</v>
      </c>
      <c r="K53" s="52" t="n">
        <v>0.21</v>
      </c>
      <c r="L53" s="52" t="n">
        <v>0.061</v>
      </c>
      <c r="M53" s="51" t="n">
        <f aca="false">(M52+Projection!J51)*(1+K53)</f>
        <v>632589.560985097</v>
      </c>
      <c r="N53" s="51" t="n">
        <f aca="false">M53/PRODUCT(1+L$7:L53)</f>
        <v>596220.132879451</v>
      </c>
      <c r="O53" s="50" t="n">
        <f aca="false">Inputs!B17</f>
        <v>0.065</v>
      </c>
      <c r="P53" s="50" t="n">
        <f aca="false">Inputs!B16</f>
        <v>0</v>
      </c>
      <c r="Q53" s="51" t="n">
        <f aca="false">(Q52+Projection!J51)*(1+O53)</f>
        <v>303524.871556914</v>
      </c>
      <c r="R53" s="51" t="n">
        <f aca="false">Q53/PRODUCT(1+P$7:P53)</f>
        <v>303524.871556914</v>
      </c>
    </row>
    <row r="54" customFormat="false" ht="15" hidden="false" customHeight="true" outlineLevel="0" collapsed="false">
      <c r="A54" s="49" t="n">
        <v>47</v>
      </c>
      <c r="B54" s="49" t="n">
        <v>47</v>
      </c>
      <c r="C54" s="50" t="n">
        <f aca="false">Inputs!B17</f>
        <v>0.065</v>
      </c>
      <c r="D54" s="50" t="n">
        <f aca="false">Inputs!B16</f>
        <v>0</v>
      </c>
      <c r="E54" s="51" t="n">
        <f aca="false">(E53+Projection!J52)*(1+C54)</f>
        <v>639877.064361066</v>
      </c>
      <c r="F54" s="51" t="n">
        <f aca="false">E54/(1+Inputs!B16)^(47+1)</f>
        <v>639877.064361066</v>
      </c>
      <c r="G54" s="50" t="n">
        <f aca="false">Inputs!B17</f>
        <v>0.065</v>
      </c>
      <c r="H54" s="50" t="n">
        <f aca="false">Inputs!B16</f>
        <v>0</v>
      </c>
      <c r="I54" s="51" t="n">
        <f aca="false">(I53+Projection!J52)*(1+G54)</f>
        <v>327311.566477996</v>
      </c>
      <c r="J54" s="51" t="n">
        <f aca="false">I54/PRODUCT(1+H$7:H54)</f>
        <v>327311.566477996</v>
      </c>
      <c r="K54" s="50" t="n">
        <f aca="false">Inputs!B17</f>
        <v>0.065</v>
      </c>
      <c r="L54" s="50" t="n">
        <f aca="false">Inputs!B16</f>
        <v>0</v>
      </c>
      <c r="M54" s="51" t="n">
        <f aca="false">(M53+Projection!J52)*(1+K54)</f>
        <v>676930.244461963</v>
      </c>
      <c r="N54" s="51" t="n">
        <f aca="false">M54/PRODUCT(1+L$7:L54)</f>
        <v>676930.244461963</v>
      </c>
      <c r="O54" s="50" t="n">
        <f aca="false">Inputs!B17</f>
        <v>0.065</v>
      </c>
      <c r="P54" s="50" t="n">
        <f aca="false">Inputs!B16</f>
        <v>0</v>
      </c>
      <c r="Q54" s="51" t="n">
        <f aca="false">(Q53+Projection!J52)*(1+O54)</f>
        <v>326476.350220948</v>
      </c>
      <c r="R54" s="51" t="n">
        <f aca="false">Q54/PRODUCT(1+P$7:P54)</f>
        <v>326476.350220948</v>
      </c>
    </row>
    <row r="55" customFormat="false" ht="15" hidden="false" customHeight="true" outlineLevel="0" collapsed="false">
      <c r="A55" s="49" t="n">
        <v>48</v>
      </c>
      <c r="B55" s="49" t="n">
        <v>48</v>
      </c>
      <c r="C55" s="50" t="n">
        <f aca="false">Inputs!B17</f>
        <v>0.065</v>
      </c>
      <c r="D55" s="50" t="n">
        <f aca="false">Inputs!B16</f>
        <v>0</v>
      </c>
      <c r="E55" s="51" t="n">
        <f aca="false">(E54+Projection!J53)*(1+C55)</f>
        <v>684739.530512785</v>
      </c>
      <c r="F55" s="51" t="n">
        <f aca="false">E55/(1+Inputs!B16)^(48+1)</f>
        <v>684739.530512785</v>
      </c>
      <c r="G55" s="50" t="n">
        <f aca="false">Inputs!B17</f>
        <v>0.065</v>
      </c>
      <c r="H55" s="50" t="n">
        <f aca="false">Inputs!B16</f>
        <v>0</v>
      </c>
      <c r="I55" s="51" t="n">
        <f aca="false">(I54+Projection!J53)*(1+G55)</f>
        <v>351857.275267316</v>
      </c>
      <c r="J55" s="51" t="n">
        <f aca="false">I55/PRODUCT(1+H$7:H55)</f>
        <v>351857.275267316</v>
      </c>
      <c r="K55" s="50" t="n">
        <f aca="false">Inputs!B17</f>
        <v>0.065</v>
      </c>
      <c r="L55" s="50" t="n">
        <f aca="false">Inputs!B16</f>
        <v>0</v>
      </c>
      <c r="M55" s="51" t="n">
        <f aca="false">(M54+Projection!J53)*(1+K55)</f>
        <v>724201.167320241</v>
      </c>
      <c r="N55" s="51" t="n">
        <f aca="false">M55/PRODUCT(1+L$7:L55)</f>
        <v>724201.167320241</v>
      </c>
      <c r="O55" s="50" t="n">
        <f aca="false">Inputs!B17</f>
        <v>0.065</v>
      </c>
      <c r="P55" s="50" t="n">
        <f aca="false">Inputs!B16</f>
        <v>0</v>
      </c>
      <c r="Q55" s="51" t="n">
        <f aca="false">(Q54+Projection!J53)*(1+O55)</f>
        <v>350967.76995356</v>
      </c>
      <c r="R55" s="51" t="n">
        <f aca="false">Q55/PRODUCT(1+P$7:P55)</f>
        <v>350967.76995356</v>
      </c>
    </row>
    <row r="56" customFormat="false" ht="15" hidden="false" customHeight="true" outlineLevel="0" collapsed="false">
      <c r="A56" s="49" t="n">
        <v>49</v>
      </c>
      <c r="B56" s="49" t="n">
        <v>49</v>
      </c>
      <c r="C56" s="50" t="n">
        <f aca="false">Inputs!B17</f>
        <v>0.065</v>
      </c>
      <c r="D56" s="50" t="n">
        <f aca="false">Inputs!B16</f>
        <v>0</v>
      </c>
      <c r="E56" s="51" t="n">
        <f aca="false">(E55+Projection!J54)*(1+C56)</f>
        <v>732566.869754937</v>
      </c>
      <c r="F56" s="51" t="n">
        <f aca="false">E56/(1+Inputs!B16)^(49+1)</f>
        <v>732566.869754937</v>
      </c>
      <c r="G56" s="50" t="n">
        <f aca="false">Inputs!B17</f>
        <v>0.065</v>
      </c>
      <c r="H56" s="50" t="n">
        <f aca="false">Inputs!B16</f>
        <v>0</v>
      </c>
      <c r="I56" s="51" t="n">
        <f aca="false">(I55+Projection!J54)*(1+G56)</f>
        <v>378047.267918512</v>
      </c>
      <c r="J56" s="51" t="n">
        <f aca="false">I56/PRODUCT(1+H$7:H56)</f>
        <v>378047.267918512</v>
      </c>
      <c r="K56" s="50" t="n">
        <f aca="false">Inputs!B17</f>
        <v>0.065</v>
      </c>
      <c r="L56" s="50" t="n">
        <f aca="false">Inputs!B16</f>
        <v>0</v>
      </c>
      <c r="M56" s="51" t="n">
        <f aca="false">(M55+Projection!J54)*(1+K56)</f>
        <v>774593.512954878</v>
      </c>
      <c r="N56" s="51" t="n">
        <f aca="false">M56/PRODUCT(1+L$7:L56)</f>
        <v>774593.512954878</v>
      </c>
      <c r="O56" s="50" t="n">
        <f aca="false">Inputs!B17</f>
        <v>0.065</v>
      </c>
      <c r="P56" s="50" t="n">
        <f aca="false">Inputs!B16</f>
        <v>0</v>
      </c>
      <c r="Q56" s="51" t="n">
        <f aca="false">(Q55+Projection!J54)*(1+O56)</f>
        <v>377099.944759363</v>
      </c>
      <c r="R56" s="51" t="n">
        <f aca="false">Q56/PRODUCT(1+P$7:P56)</f>
        <v>377099.944759363</v>
      </c>
    </row>
    <row r="57" customFormat="false" ht="15" hidden="false" customHeight="true" outlineLevel="0" collapsed="false">
      <c r="A57" s="49" t="n">
        <v>50</v>
      </c>
      <c r="B57" s="49" t="n">
        <v>50</v>
      </c>
      <c r="C57" s="50" t="n">
        <f aca="false">Inputs!B17</f>
        <v>0.065</v>
      </c>
      <c r="D57" s="50" t="n">
        <f aca="false">Inputs!B16</f>
        <v>0</v>
      </c>
      <c r="E57" s="51" t="n">
        <f aca="false">(E56+Projection!J55)*(1+C57)</f>
        <v>783552.527387513</v>
      </c>
      <c r="F57" s="51" t="n">
        <f aca="false">E57/(1+Inputs!B16)^(50+1)</f>
        <v>783552.527387513</v>
      </c>
      <c r="G57" s="50" t="n">
        <f aca="false">Inputs!B17</f>
        <v>0.065</v>
      </c>
      <c r="H57" s="50" t="n">
        <f aca="false">Inputs!B16</f>
        <v>0</v>
      </c>
      <c r="I57" s="51" t="n">
        <f aca="false">(I56+Projection!J55)*(1+G57)</f>
        <v>405989.151431721</v>
      </c>
      <c r="J57" s="51" t="n">
        <f aca="false">I57/PRODUCT(1+H$7:H57)</f>
        <v>405989.151431721</v>
      </c>
      <c r="K57" s="50" t="n">
        <f aca="false">Inputs!B17</f>
        <v>0.065</v>
      </c>
      <c r="L57" s="50" t="n">
        <f aca="false">Inputs!B16</f>
        <v>0</v>
      </c>
      <c r="M57" s="51" t="n">
        <f aca="false">(M56+Projection!J55)*(1+K57)</f>
        <v>828310.90239545</v>
      </c>
      <c r="N57" s="51" t="n">
        <f aca="false">M57/PRODUCT(1+L$7:L57)</f>
        <v>828310.90239545</v>
      </c>
      <c r="O57" s="50" t="n">
        <f aca="false">Inputs!B17</f>
        <v>0.065</v>
      </c>
      <c r="P57" s="50" t="n">
        <f aca="false">Inputs!B16</f>
        <v>0</v>
      </c>
      <c r="Q57" s="51" t="n">
        <f aca="false">(Q56+Projection!J55)*(1+O57)</f>
        <v>404980.252267226</v>
      </c>
      <c r="R57" s="51" t="n">
        <f aca="false">Q57/PRODUCT(1+P$7:P57)</f>
        <v>404980.252267226</v>
      </c>
    </row>
    <row r="58" customFormat="false" ht="15" hidden="false" customHeight="true" outlineLevel="0" collapsed="false">
      <c r="A58" s="49" t="n">
        <v>51</v>
      </c>
      <c r="B58" s="49" t="n">
        <v>51</v>
      </c>
      <c r="C58" s="50" t="n">
        <f aca="false">Inputs!B17</f>
        <v>0.065</v>
      </c>
      <c r="D58" s="50" t="n">
        <f aca="false">Inputs!B16</f>
        <v>0</v>
      </c>
      <c r="E58" s="51" t="n">
        <f aca="false">(E57+Projection!J56)*(1+C58)</f>
        <v>837902.533528871</v>
      </c>
      <c r="F58" s="51" t="n">
        <f aca="false">E58/(1+Inputs!B16)^(51+1)</f>
        <v>837902.533528871</v>
      </c>
      <c r="G58" s="50" t="n">
        <f aca="false">Inputs!B17</f>
        <v>0.065</v>
      </c>
      <c r="H58" s="50" t="n">
        <f aca="false">Inputs!B16</f>
        <v>0</v>
      </c>
      <c r="I58" s="51" t="n">
        <f aca="false">(I57+Projection!J56)*(1+G58)</f>
        <v>435797.538135952</v>
      </c>
      <c r="J58" s="51" t="n">
        <f aca="false">I58/PRODUCT(1+H$7:H58)</f>
        <v>435797.538135952</v>
      </c>
      <c r="K58" s="50" t="n">
        <f aca="false">Inputs!B17</f>
        <v>0.065</v>
      </c>
      <c r="L58" s="50" t="n">
        <f aca="false">Inputs!B16</f>
        <v>0</v>
      </c>
      <c r="M58" s="51" t="n">
        <f aca="false">(M57+Projection!J56)*(1+K58)</f>
        <v>885570.202912323</v>
      </c>
      <c r="N58" s="51" t="n">
        <f aca="false">M58/PRODUCT(1+L$7:L58)</f>
        <v>885570.202912323</v>
      </c>
      <c r="O58" s="50" t="n">
        <f aca="false">Inputs!B17</f>
        <v>0.065</v>
      </c>
      <c r="P58" s="50" t="n">
        <f aca="false">Inputs!B16</f>
        <v>0</v>
      </c>
      <c r="Q58" s="51" t="n">
        <f aca="false">(Q57+Projection!J56)*(1+O58)</f>
        <v>434723.060525765</v>
      </c>
      <c r="R58" s="51" t="n">
        <f aca="false">Q58/PRODUCT(1+P$7:P58)</f>
        <v>434723.060525765</v>
      </c>
    </row>
    <row r="59" customFormat="false" ht="15" hidden="false" customHeight="true" outlineLevel="0" collapsed="false">
      <c r="A59" s="49" t="n">
        <v>52</v>
      </c>
      <c r="B59" s="49" t="n">
        <v>52</v>
      </c>
      <c r="C59" s="50" t="n">
        <f aca="false">Inputs!B17</f>
        <v>0.065</v>
      </c>
      <c r="D59" s="50" t="n">
        <f aca="false">Inputs!B16</f>
        <v>0</v>
      </c>
      <c r="E59" s="51" t="n">
        <f aca="false">(E58+Projection!J57)*(1+C59)</f>
        <v>895836.321291225</v>
      </c>
      <c r="F59" s="51" t="n">
        <f aca="false">E59/(1+Inputs!B16)^(52+1)</f>
        <v>895836.321291225</v>
      </c>
      <c r="G59" s="50" t="n">
        <f aca="false">Inputs!B17</f>
        <v>0.065</v>
      </c>
      <c r="H59" s="50" t="n">
        <f aca="false">Inputs!B16</f>
        <v>0</v>
      </c>
      <c r="I59" s="51" t="n">
        <f aca="false">(I58+Projection!J57)*(1+G59)</f>
        <v>467594.501197766</v>
      </c>
      <c r="J59" s="51" t="n">
        <f aca="false">I59/PRODUCT(1+H$7:H59)</f>
        <v>467594.501197766</v>
      </c>
      <c r="K59" s="50" t="n">
        <f aca="false">Inputs!B17</f>
        <v>0.065</v>
      </c>
      <c r="L59" s="50" t="n">
        <f aca="false">Inputs!B16</f>
        <v>0</v>
      </c>
      <c r="M59" s="51" t="n">
        <f aca="false">(M58+Projection!J57)*(1+K59)</f>
        <v>946602.389184602</v>
      </c>
      <c r="N59" s="51" t="n">
        <f aca="false">M59/PRODUCT(1+L$7:L59)</f>
        <v>946602.389184602</v>
      </c>
      <c r="O59" s="50" t="n">
        <f aca="false">Inputs!B17</f>
        <v>0.065</v>
      </c>
      <c r="P59" s="50" t="n">
        <f aca="false">Inputs!B16</f>
        <v>0</v>
      </c>
      <c r="Q59" s="51" t="n">
        <f aca="false">(Q58+Projection!J57)*(1+O59)</f>
        <v>466450.182542917</v>
      </c>
      <c r="R59" s="51" t="n">
        <f aca="false">Q59/PRODUCT(1+P$7:P59)</f>
        <v>466450.182542917</v>
      </c>
    </row>
    <row r="60" customFormat="false" ht="15" hidden="false" customHeight="true" outlineLevel="0" collapsed="false">
      <c r="A60" s="49" t="n">
        <v>53</v>
      </c>
      <c r="B60" s="49" t="n">
        <v>53</v>
      </c>
      <c r="C60" s="50" t="n">
        <f aca="false">Inputs!B17</f>
        <v>0.065</v>
      </c>
      <c r="D60" s="50" t="n">
        <f aca="false">Inputs!B16</f>
        <v>0</v>
      </c>
      <c r="E60" s="51" t="n">
        <f aca="false">(E59+Projection!J58)*(1+C60)</f>
        <v>957587.598139968</v>
      </c>
      <c r="F60" s="51" t="n">
        <f aca="false">E60/(1+Inputs!B16)^(53+1)</f>
        <v>957587.598139968</v>
      </c>
      <c r="G60" s="50" t="n">
        <f aca="false">Inputs!B17</f>
        <v>0.065</v>
      </c>
      <c r="H60" s="50" t="n">
        <f aca="false">Inputs!B16</f>
        <v>0</v>
      </c>
      <c r="I60" s="51" t="n">
        <f aca="false">(I59+Projection!J58)*(1+G60)</f>
        <v>501510.059740434</v>
      </c>
      <c r="J60" s="51" t="n">
        <f aca="false">I60/PRODUCT(1+H$7:H60)</f>
        <v>501510.059740434</v>
      </c>
      <c r="K60" s="50" t="n">
        <f aca="false">Inputs!B17</f>
        <v>0.065</v>
      </c>
      <c r="L60" s="50" t="n">
        <f aca="false">Inputs!B16</f>
        <v>0</v>
      </c>
      <c r="M60" s="51" t="n">
        <f aca="false">(M59+Projection!J58)*(1+K60)</f>
        <v>1011653.46044641</v>
      </c>
      <c r="N60" s="51" t="n">
        <f aca="false">M60/PRODUCT(1+L$7:L60)</f>
        <v>1011653.46044641</v>
      </c>
      <c r="O60" s="50" t="n">
        <f aca="false">Inputs!B17</f>
        <v>0.065</v>
      </c>
      <c r="P60" s="50" t="n">
        <f aca="false">Inputs!B16</f>
        <v>0</v>
      </c>
      <c r="Q60" s="51" t="n">
        <f aca="false">(Q59+Projection!J58)*(1+O60)</f>
        <v>500291.36037302</v>
      </c>
      <c r="R60" s="51" t="n">
        <f aca="false">Q60/PRODUCT(1+P$7:P60)</f>
        <v>500291.36037302</v>
      </c>
    </row>
    <row r="61" customFormat="false" ht="15" hidden="false" customHeight="true" outlineLevel="0" collapsed="false">
      <c r="A61" s="49" t="n">
        <v>54</v>
      </c>
      <c r="B61" s="49" t="n">
        <v>54</v>
      </c>
      <c r="C61" s="50" t="n">
        <f aca="false">Inputs!B17</f>
        <v>0.065</v>
      </c>
      <c r="D61" s="50" t="n">
        <f aca="false">Inputs!B16</f>
        <v>0</v>
      </c>
      <c r="E61" s="51" t="n">
        <f aca="false">(E60+Projection!J59)*(1+C61)</f>
        <v>1023405.2738938</v>
      </c>
      <c r="F61" s="51" t="n">
        <f aca="false">E61/(1+Inputs!B16)^(54+1)</f>
        <v>1023405.2738938</v>
      </c>
      <c r="G61" s="50" t="n">
        <f aca="false">Inputs!B17</f>
        <v>0.065</v>
      </c>
      <c r="H61" s="50" t="n">
        <f aca="false">Inputs!B16</f>
        <v>0</v>
      </c>
      <c r="I61" s="51" t="n">
        <f aca="false">(I60+Projection!J59)*(1+G61)</f>
        <v>537682.695498298</v>
      </c>
      <c r="J61" s="51" t="n">
        <f aca="false">I61/PRODUCT(1+H$7:H61)</f>
        <v>537682.695498298</v>
      </c>
      <c r="K61" s="50" t="n">
        <f aca="false">Inputs!B17</f>
        <v>0.065</v>
      </c>
      <c r="L61" s="50" t="n">
        <f aca="false">Inputs!B16</f>
        <v>0</v>
      </c>
      <c r="M61" s="51" t="n">
        <f aca="false">(M60+Projection!J59)*(1+K61)</f>
        <v>1080985.41725017</v>
      </c>
      <c r="N61" s="51" t="n">
        <f aca="false">M61/PRODUCT(1+L$7:L61)</f>
        <v>1080985.41725017</v>
      </c>
      <c r="O61" s="50" t="n">
        <f aca="false">Inputs!B17</f>
        <v>0.065</v>
      </c>
      <c r="P61" s="50" t="n">
        <f aca="false">Inputs!B16</f>
        <v>0</v>
      </c>
      <c r="Q61" s="51" t="n">
        <f aca="false">(Q60+Projection!J59)*(1+O61)</f>
        <v>536384.780672002</v>
      </c>
      <c r="R61" s="51" t="n">
        <f aca="false">Q61/PRODUCT(1+P$7:P61)</f>
        <v>536384.780672002</v>
      </c>
    </row>
    <row r="62" customFormat="false" ht="15" hidden="false" customHeight="true" outlineLevel="0" collapsed="false">
      <c r="A62" s="49" t="n">
        <v>55</v>
      </c>
      <c r="B62" s="49" t="n">
        <v>55</v>
      </c>
      <c r="C62" s="50" t="n">
        <f aca="false">Inputs!B17</f>
        <v>0.065</v>
      </c>
      <c r="D62" s="50" t="n">
        <f aca="false">Inputs!B16</f>
        <v>0</v>
      </c>
      <c r="E62" s="51" t="n">
        <f aca="false">(E61+Projection!J60)*(1+C62)</f>
        <v>1093554.44904738</v>
      </c>
      <c r="F62" s="51" t="n">
        <f aca="false">E62/(1+Inputs!B16)^(55+1)</f>
        <v>1093554.44904738</v>
      </c>
      <c r="G62" s="50" t="n">
        <f aca="false">Inputs!B17</f>
        <v>0.065</v>
      </c>
      <c r="H62" s="50" t="n">
        <f aca="false">Inputs!B16</f>
        <v>0</v>
      </c>
      <c r="I62" s="51" t="n">
        <f aca="false">(I61+Projection!J60)*(1+G62)</f>
        <v>576259.903056166</v>
      </c>
      <c r="J62" s="51" t="n">
        <f aca="false">I62/PRODUCT(1+H$7:H62)</f>
        <v>576259.903056166</v>
      </c>
      <c r="K62" s="50" t="n">
        <f aca="false">Inputs!B17</f>
        <v>0.065</v>
      </c>
      <c r="L62" s="50" t="n">
        <f aca="false">Inputs!B16</f>
        <v>0</v>
      </c>
      <c r="M62" s="51" t="n">
        <f aca="false">(M61+Projection!J60)*(1+K62)</f>
        <v>1154877.30172191</v>
      </c>
      <c r="N62" s="51" t="n">
        <f aca="false">M62/PRODUCT(1+L$7:L62)</f>
        <v>1154877.30172191</v>
      </c>
      <c r="O62" s="50" t="n">
        <f aca="false">Inputs!B17</f>
        <v>0.065</v>
      </c>
      <c r="P62" s="50" t="n">
        <f aca="false">Inputs!B16</f>
        <v>0</v>
      </c>
      <c r="Q62" s="51" t="n">
        <f aca="false">(Q61+Projection!J60)*(1+O62)</f>
        <v>574877.623766161</v>
      </c>
      <c r="R62" s="51" t="n">
        <f aca="false">Q62/PRODUCT(1+P$7:P62)</f>
        <v>574877.623766161</v>
      </c>
    </row>
    <row r="63" customFormat="false" ht="15" hidden="false" customHeight="true" outlineLevel="0" collapsed="false">
      <c r="A63" s="49" t="n">
        <v>56</v>
      </c>
      <c r="B63" s="49" t="n">
        <v>56</v>
      </c>
      <c r="C63" s="50" t="n">
        <f aca="false">Inputs!B17</f>
        <v>0.065</v>
      </c>
      <c r="D63" s="50" t="n">
        <f aca="false">Inputs!B16</f>
        <v>0</v>
      </c>
      <c r="E63" s="51" t="n">
        <f aca="false">(E62+Projection!J61)*(1+C63)</f>
        <v>1168317.46733743</v>
      </c>
      <c r="F63" s="51" t="n">
        <f aca="false">E63/(1+Inputs!B16)^(56+1)</f>
        <v>1168317.46733743</v>
      </c>
      <c r="G63" s="50" t="n">
        <f aca="false">Inputs!B17</f>
        <v>0.065</v>
      </c>
      <c r="H63" s="50" t="n">
        <f aca="false">Inputs!B16</f>
        <v>0</v>
      </c>
      <c r="I63" s="51" t="n">
        <f aca="false">(I62+Projection!J61)*(1+G63)</f>
        <v>617398.775856794</v>
      </c>
      <c r="J63" s="51" t="n">
        <f aca="false">I63/PRODUCT(1+H$7:H63)</f>
        <v>617398.775856794</v>
      </c>
      <c r="K63" s="50" t="n">
        <f aca="false">Inputs!B17</f>
        <v>0.065</v>
      </c>
      <c r="L63" s="50" t="n">
        <f aca="false">Inputs!B16</f>
        <v>0</v>
      </c>
      <c r="M63" s="51" t="n">
        <f aca="false">(M62+Projection!J61)*(1+K63)</f>
        <v>1233626.30543581</v>
      </c>
      <c r="N63" s="51" t="n">
        <f aca="false">M63/PRODUCT(1+L$7:L63)</f>
        <v>1233626.30543581</v>
      </c>
      <c r="O63" s="50" t="n">
        <f aca="false">Inputs!B17</f>
        <v>0.065</v>
      </c>
      <c r="P63" s="50" t="n">
        <f aca="false">Inputs!B16</f>
        <v>0</v>
      </c>
      <c r="Q63" s="51" t="n">
        <f aca="false">(Q62+Projection!J61)*(1+O63)</f>
        <v>615926.648412939</v>
      </c>
      <c r="R63" s="51" t="n">
        <f aca="false">Q63/PRODUCT(1+P$7:P63)</f>
        <v>615926.648412939</v>
      </c>
    </row>
    <row r="64" customFormat="false" ht="15" hidden="false" customHeight="true" outlineLevel="0" collapsed="false">
      <c r="A64" s="49" t="n">
        <v>57</v>
      </c>
      <c r="B64" s="49" t="n">
        <v>57</v>
      </c>
      <c r="C64" s="50" t="n">
        <f aca="false">Inputs!B17</f>
        <v>0.065</v>
      </c>
      <c r="D64" s="50" t="n">
        <f aca="false">Inputs!B16</f>
        <v>0</v>
      </c>
      <c r="E64" s="51" t="n">
        <f aca="false">(E63+Projection!J62)*(1+C64)</f>
        <v>1247995.03672831</v>
      </c>
      <c r="F64" s="51" t="n">
        <f aca="false">E64/(1+Inputs!B16)^(57+1)</f>
        <v>1247995.03672831</v>
      </c>
      <c r="G64" s="50" t="n">
        <f aca="false">Inputs!B17</f>
        <v>0.065</v>
      </c>
      <c r="H64" s="50" t="n">
        <f aca="false">Inputs!B16</f>
        <v>0</v>
      </c>
      <c r="I64" s="51" t="n">
        <f aca="false">(I63+Projection!J62)*(1+G64)</f>
        <v>661266.630301433</v>
      </c>
      <c r="J64" s="51" t="n">
        <f aca="false">I64/PRODUCT(1+H$7:H64)</f>
        <v>661266.630301433</v>
      </c>
      <c r="K64" s="50" t="n">
        <f aca="false">Inputs!B17</f>
        <v>0.065</v>
      </c>
      <c r="L64" s="50" t="n">
        <f aca="false">Inputs!B16</f>
        <v>0</v>
      </c>
      <c r="M64" s="51" t="n">
        <f aca="false">(M63+Projection!J62)*(1+K64)</f>
        <v>1317548.94930308</v>
      </c>
      <c r="N64" s="51" t="n">
        <f aca="false">M64/PRODUCT(1+L$7:L64)</f>
        <v>1317548.94930308</v>
      </c>
      <c r="O64" s="50" t="n">
        <f aca="false">Inputs!B17</f>
        <v>0.065</v>
      </c>
      <c r="P64" s="50" t="n">
        <f aca="false">Inputs!B16</f>
        <v>0</v>
      </c>
      <c r="Q64" s="51" t="n">
        <f aca="false">(Q63+Projection!J62)*(1+O64)</f>
        <v>659698.814573727</v>
      </c>
      <c r="R64" s="51" t="n">
        <f aca="false">Q64/PRODUCT(1+P$7:P64)</f>
        <v>659698.814573727</v>
      </c>
    </row>
    <row r="65" customFormat="false" ht="15" hidden="false" customHeight="true" outlineLevel="0" collapsed="false">
      <c r="A65" s="49" t="n">
        <v>58</v>
      </c>
      <c r="B65" s="49" t="n">
        <v>58</v>
      </c>
      <c r="C65" s="50" t="n">
        <f aca="false">Inputs!B17</f>
        <v>0.065</v>
      </c>
      <c r="D65" s="50" t="n">
        <f aca="false">Inputs!B16</f>
        <v>0</v>
      </c>
      <c r="E65" s="51" t="n">
        <f aca="false">(E64+Projection!J63)*(1+C65)</f>
        <v>1332907.42326414</v>
      </c>
      <c r="F65" s="51" t="n">
        <f aca="false">E65/(1+Inputs!B16)^(58+1)</f>
        <v>1332907.42326414</v>
      </c>
      <c r="G65" s="50" t="n">
        <f aca="false">Inputs!B17</f>
        <v>0.065</v>
      </c>
      <c r="H65" s="50" t="n">
        <f aca="false">Inputs!B16</f>
        <v>0</v>
      </c>
      <c r="I65" s="51" t="n">
        <f aca="false">(I64+Projection!J63)*(1+G65)</f>
        <v>708041.670419511</v>
      </c>
      <c r="J65" s="51" t="n">
        <f aca="false">I65/PRODUCT(1+H$7:H65)</f>
        <v>708041.670419511</v>
      </c>
      <c r="K65" s="50" t="n">
        <f aca="false">Inputs!B17</f>
        <v>0.065</v>
      </c>
      <c r="L65" s="50" t="n">
        <f aca="false">Inputs!B16</f>
        <v>0</v>
      </c>
      <c r="M65" s="51" t="n">
        <f aca="false">(M64+Projection!J63)*(1+K65)</f>
        <v>1406982.34015627</v>
      </c>
      <c r="N65" s="51" t="n">
        <f aca="false">M65/PRODUCT(1+L$7:L65)</f>
        <v>1406982.34015627</v>
      </c>
      <c r="O65" s="50" t="n">
        <f aca="false">Inputs!B17</f>
        <v>0.065</v>
      </c>
      <c r="P65" s="50" t="n">
        <f aca="false">Inputs!B16</f>
        <v>0</v>
      </c>
      <c r="Q65" s="51" t="n">
        <f aca="false">(Q64+Projection!J63)*(1+O65)</f>
        <v>706371.946669504</v>
      </c>
      <c r="R65" s="51" t="n">
        <f aca="false">Q65/PRODUCT(1+P$7:P65)</f>
        <v>706371.946669504</v>
      </c>
    </row>
    <row r="66" customFormat="false" ht="15" hidden="false" customHeight="true" outlineLevel="0" collapsed="false">
      <c r="A66" s="49" t="n">
        <v>59</v>
      </c>
      <c r="B66" s="49" t="n">
        <v>59</v>
      </c>
      <c r="C66" s="50" t="n">
        <f aca="false">Inputs!B17</f>
        <v>0.065</v>
      </c>
      <c r="D66" s="50" t="n">
        <f aca="false">Inputs!B16</f>
        <v>0</v>
      </c>
      <c r="E66" s="51" t="n">
        <f aca="false">(E65+Projection!J64)*(1+C66)</f>
        <v>1423395.72252402</v>
      </c>
      <c r="F66" s="51" t="n">
        <f aca="false">E66/(1+Inputs!B16)^(59+1)</f>
        <v>1423395.72252402</v>
      </c>
      <c r="G66" s="50" t="n">
        <f aca="false">Inputs!B17</f>
        <v>0.065</v>
      </c>
      <c r="H66" s="50" t="n">
        <f aca="false">Inputs!B16</f>
        <v>0</v>
      </c>
      <c r="I66" s="51" t="n">
        <f aca="false">(I65+Projection!J64)*(1+G66)</f>
        <v>757913.695744494</v>
      </c>
      <c r="J66" s="51" t="n">
        <f aca="false">I66/PRODUCT(1+H$7:H66)</f>
        <v>757913.695744494</v>
      </c>
      <c r="K66" s="50" t="n">
        <f aca="false">Inputs!B17</f>
        <v>0.065</v>
      </c>
      <c r="L66" s="50" t="n">
        <f aca="false">Inputs!B16</f>
        <v>0</v>
      </c>
      <c r="M66" s="51" t="n">
        <f aca="false">(M65+Projection!J64)*(1+K66)</f>
        <v>1502285.50901414</v>
      </c>
      <c r="N66" s="51" t="n">
        <f aca="false">M66/PRODUCT(1+L$7:L66)</f>
        <v>1502285.50901414</v>
      </c>
      <c r="O66" s="50" t="n">
        <f aca="false">Inputs!B17</f>
        <v>0.065</v>
      </c>
      <c r="P66" s="50" t="n">
        <f aca="false">Inputs!B16</f>
        <v>0</v>
      </c>
      <c r="Q66" s="51" t="n">
        <f aca="false">(Q65+Projection!J64)*(1+O66)</f>
        <v>756135.439950737</v>
      </c>
      <c r="R66" s="51" t="n">
        <f aca="false">Q66/PRODUCT(1+P$7:P66)</f>
        <v>756135.439950737</v>
      </c>
    </row>
    <row r="67" customFormat="false" ht="15" hidden="false" customHeight="true" outlineLevel="0" collapsed="false">
      <c r="A67" s="49" t="n">
        <v>60</v>
      </c>
      <c r="B67" s="49" t="n">
        <v>60</v>
      </c>
      <c r="C67" s="50" t="n">
        <f aca="false">Inputs!B17</f>
        <v>0.065</v>
      </c>
      <c r="D67" s="50" t="n">
        <f aca="false">Inputs!B16</f>
        <v>0</v>
      </c>
      <c r="E67" s="51" t="n">
        <f aca="false">(E66+Projection!J65)*(1+C67)</f>
        <v>1519823.21372457</v>
      </c>
      <c r="F67" s="51" t="n">
        <f aca="false">E67/(1+Inputs!B16)^(60+1)</f>
        <v>1519823.21372457</v>
      </c>
      <c r="G67" s="50" t="n">
        <f aca="false">Inputs!B17</f>
        <v>0.065</v>
      </c>
      <c r="H67" s="50" t="n">
        <f aca="false">Inputs!B16</f>
        <v>0</v>
      </c>
      <c r="I67" s="51" t="n">
        <f aca="false">(I66+Projection!J65)*(1+G67)</f>
        <v>811084.855204373</v>
      </c>
      <c r="J67" s="51" t="n">
        <f aca="false">I67/PRODUCT(1+H$7:H67)</f>
        <v>811084.855204373</v>
      </c>
      <c r="K67" s="50" t="n">
        <f aca="false">Inputs!B17</f>
        <v>0.065</v>
      </c>
      <c r="L67" s="50" t="n">
        <f aca="false">Inputs!B16</f>
        <v>0</v>
      </c>
      <c r="M67" s="51" t="n">
        <f aca="false">(M66+Projection!J65)*(1+K67)</f>
        <v>1603840.83633655</v>
      </c>
      <c r="N67" s="51" t="n">
        <f aca="false">M67/PRODUCT(1+L$7:L67)</f>
        <v>1603840.83633655</v>
      </c>
      <c r="O67" s="50" t="n">
        <f aca="false">Inputs!B17</f>
        <v>0.065</v>
      </c>
      <c r="P67" s="50" t="n">
        <f aca="false">Inputs!B16</f>
        <v>0</v>
      </c>
      <c r="Q67" s="51" t="n">
        <f aca="false">(Q66+Projection!J65)*(1+O67)</f>
        <v>809191.012784022</v>
      </c>
      <c r="R67" s="51" t="n">
        <f aca="false">Q67/PRODUCT(1+P$7:P67)</f>
        <v>809191.012784022</v>
      </c>
    </row>
    <row r="68" customFormat="false" ht="15" hidden="false" customHeight="true" outlineLevel="0" collapsed="false">
      <c r="A68" s="49" t="n">
        <v>61</v>
      </c>
      <c r="B68" s="49" t="n">
        <v>61</v>
      </c>
      <c r="C68" s="50" t="n">
        <f aca="false">Inputs!B17</f>
        <v>0.065</v>
      </c>
      <c r="D68" s="50" t="n">
        <f aca="false">Inputs!B16</f>
        <v>0</v>
      </c>
      <c r="E68" s="51" t="n">
        <f aca="false">(E67+Projection!J66)*(1+C68)</f>
        <v>1622576.80184176</v>
      </c>
      <c r="F68" s="51" t="n">
        <f aca="false">E68/(1+Inputs!B16)^(61+1)</f>
        <v>1622576.80184176</v>
      </c>
      <c r="G68" s="50" t="n">
        <f aca="false">Inputs!B17</f>
        <v>0.065</v>
      </c>
      <c r="H68" s="50" t="n">
        <f aca="false">Inputs!B16</f>
        <v>0</v>
      </c>
      <c r="I68" s="51" t="n">
        <f aca="false">(I67+Projection!J66)*(1+G68)</f>
        <v>867770.450017749</v>
      </c>
      <c r="J68" s="51" t="n">
        <f aca="false">I68/PRODUCT(1+H$7:H68)</f>
        <v>867770.450017749</v>
      </c>
      <c r="K68" s="50" t="n">
        <f aca="false">Inputs!B17</f>
        <v>0.065</v>
      </c>
      <c r="L68" s="50" t="n">
        <f aca="false">Inputs!B16</f>
        <v>0</v>
      </c>
      <c r="M68" s="51" t="n">
        <f aca="false">(M67+Projection!J66)*(1+K68)</f>
        <v>1712055.56992351</v>
      </c>
      <c r="N68" s="51" t="n">
        <f aca="false">M68/PRODUCT(1+L$7:L68)</f>
        <v>1712055.56992351</v>
      </c>
      <c r="O68" s="50" t="n">
        <f aca="false">Inputs!B17</f>
        <v>0.065</v>
      </c>
      <c r="P68" s="50" t="n">
        <f aca="false">Inputs!B16</f>
        <v>0</v>
      </c>
      <c r="Q68" s="51" t="n">
        <f aca="false">(Q67+Projection!J66)*(1+O68)</f>
        <v>865753.507840075</v>
      </c>
      <c r="R68" s="51" t="n">
        <f aca="false">Q68/PRODUCT(1+P$7:P68)</f>
        <v>865753.507840075</v>
      </c>
    </row>
    <row r="69" customFormat="false" ht="15" hidden="false" customHeight="true" outlineLevel="0" collapsed="false">
      <c r="A69" s="49" t="n">
        <v>62</v>
      </c>
      <c r="B69" s="49" t="n">
        <v>62</v>
      </c>
      <c r="C69" s="50" t="n">
        <f aca="false">Inputs!B17</f>
        <v>0.065</v>
      </c>
      <c r="D69" s="50" t="n">
        <f aca="false">Inputs!B16</f>
        <v>0</v>
      </c>
      <c r="E69" s="51" t="n">
        <f aca="false">(E68+Projection!J67)*(1+C69)</f>
        <v>1732068.55347351</v>
      </c>
      <c r="F69" s="51" t="n">
        <f aca="false">E69/(1+Inputs!B16)^(62+1)</f>
        <v>1732068.55347351</v>
      </c>
      <c r="G69" s="50" t="n">
        <f aca="false">Inputs!B17</f>
        <v>0.065</v>
      </c>
      <c r="H69" s="50" t="n">
        <f aca="false">Inputs!B16</f>
        <v>0</v>
      </c>
      <c r="I69" s="51" t="n">
        <f aca="false">(I68+Projection!J67)*(1+G69)</f>
        <v>928199.788780936</v>
      </c>
      <c r="J69" s="51" t="n">
        <f aca="false">I69/PRODUCT(1+H$7:H69)</f>
        <v>928199.788780936</v>
      </c>
      <c r="K69" s="50" t="n">
        <f aca="false">Inputs!B17</f>
        <v>0.065</v>
      </c>
      <c r="L69" s="50" t="n">
        <f aca="false">Inputs!B16</f>
        <v>0</v>
      </c>
      <c r="M69" s="51" t="n">
        <f aca="false">(M68+Projection!J67)*(1+K69)</f>
        <v>1827363.44148057</v>
      </c>
      <c r="N69" s="51" t="n">
        <f aca="false">M69/PRODUCT(1+L$7:L69)</f>
        <v>1827363.44148057</v>
      </c>
      <c r="O69" s="50" t="n">
        <f aca="false">Inputs!B17</f>
        <v>0.065</v>
      </c>
      <c r="P69" s="50" t="n">
        <f aca="false">Inputs!B16</f>
        <v>0</v>
      </c>
      <c r="Q69" s="51" t="n">
        <f aca="false">(Q68+Projection!J67)*(1+O69)</f>
        <v>926051.745361712</v>
      </c>
      <c r="R69" s="51" t="n">
        <f aca="false">Q69/PRODUCT(1+P$7:P69)</f>
        <v>926051.745361712</v>
      </c>
    </row>
    <row r="70" customFormat="false" ht="15" hidden="false" customHeight="true" outlineLevel="0" collapsed="false">
      <c r="A70" s="49" t="n">
        <v>63</v>
      </c>
      <c r="B70" s="49" t="n">
        <v>63</v>
      </c>
      <c r="C70" s="50" t="n">
        <f aca="false">Inputs!B17</f>
        <v>0.065</v>
      </c>
      <c r="D70" s="50" t="n">
        <f aca="false">Inputs!B16</f>
        <v>0</v>
      </c>
      <c r="E70" s="51" t="n">
        <f aca="false">(E69+Projection!J68)*(1+C70)</f>
        <v>1848737.33253612</v>
      </c>
      <c r="F70" s="51" t="n">
        <f aca="false">E70/(1+Inputs!B16)^(63+1)</f>
        <v>1848737.33253612</v>
      </c>
      <c r="G70" s="50" t="n">
        <f aca="false">Inputs!B17</f>
        <v>0.065</v>
      </c>
      <c r="H70" s="50" t="n">
        <f aca="false">Inputs!B16</f>
        <v>0</v>
      </c>
      <c r="I70" s="51" t="n">
        <f aca="false">(I69+Projection!J68)*(1+G70)</f>
        <v>992617.098138536</v>
      </c>
      <c r="J70" s="51" t="n">
        <f aca="false">I70/PRODUCT(1+H$7:H70)</f>
        <v>992617.098138536</v>
      </c>
      <c r="K70" s="50" t="n">
        <f aca="false">Inputs!B17</f>
        <v>0.065</v>
      </c>
      <c r="L70" s="50" t="n">
        <f aca="false">Inputs!B16</f>
        <v>0</v>
      </c>
      <c r="M70" s="51" t="n">
        <f aca="false">(M69+Projection!J68)*(1+K70)</f>
        <v>1950226.38826365</v>
      </c>
      <c r="N70" s="51" t="n">
        <f aca="false">M70/PRODUCT(1+L$7:L70)</f>
        <v>1950226.38826365</v>
      </c>
      <c r="O70" s="50" t="n">
        <f aca="false">Inputs!B17</f>
        <v>0.065</v>
      </c>
      <c r="P70" s="50" t="n">
        <f aca="false">Inputs!B16</f>
        <v>0</v>
      </c>
      <c r="Q70" s="51" t="n">
        <f aca="false">(Q69+Projection!J68)*(1+O70)</f>
        <v>990329.431897063</v>
      </c>
      <c r="R70" s="51" t="n">
        <f aca="false">Q70/PRODUCT(1+P$7:P70)</f>
        <v>990329.431897063</v>
      </c>
    </row>
    <row r="71" customFormat="false" ht="15" hidden="false" customHeight="true" outlineLevel="0" collapsed="false">
      <c r="A71" s="49" t="n">
        <v>64</v>
      </c>
      <c r="B71" s="49" t="n">
        <v>64</v>
      </c>
      <c r="C71" s="50" t="n">
        <f aca="false">Inputs!B17</f>
        <v>0.065</v>
      </c>
      <c r="D71" s="50" t="n">
        <f aca="false">Inputs!B16</f>
        <v>0</v>
      </c>
      <c r="E71" s="51" t="n">
        <f aca="false">(E70+Projection!J69)*(1+C71)</f>
        <v>1973050.54228388</v>
      </c>
      <c r="F71" s="51" t="n">
        <f aca="false">E71/(1+Inputs!B16)^(64+1)</f>
        <v>1973050.54228388</v>
      </c>
      <c r="G71" s="50" t="n">
        <f aca="false">Inputs!B17</f>
        <v>0.065</v>
      </c>
      <c r="H71" s="50" t="n">
        <f aca="false">Inputs!B16</f>
        <v>0</v>
      </c>
      <c r="I71" s="51" t="n">
        <f aca="false">(I70+Projection!J69)*(1+G71)</f>
        <v>1061282.49265045</v>
      </c>
      <c r="J71" s="51" t="n">
        <f aca="false">I71/PRODUCT(1+H$7:H71)</f>
        <v>1061282.49265045</v>
      </c>
      <c r="K71" s="50" t="n">
        <f aca="false">Inputs!B17</f>
        <v>0.065</v>
      </c>
      <c r="L71" s="50" t="n">
        <f aca="false">Inputs!B16</f>
        <v>0</v>
      </c>
      <c r="M71" s="51" t="n">
        <f aca="false">(M70+Projection!J69)*(1+K71)</f>
        <v>2081136.3866337</v>
      </c>
      <c r="N71" s="51" t="n">
        <f aca="false">M71/PRODUCT(1+L$7:L71)</f>
        <v>2081136.3866337</v>
      </c>
      <c r="O71" s="50" t="n">
        <f aca="false">Inputs!B17</f>
        <v>0.065</v>
      </c>
      <c r="P71" s="50" t="n">
        <f aca="false">Inputs!B16</f>
        <v>0</v>
      </c>
      <c r="Q71" s="51" t="n">
        <f aca="false">(Q70+Projection!J69)*(1+O71)</f>
        <v>1058846.12810328</v>
      </c>
      <c r="R71" s="51" t="n">
        <f aca="false">Q71/PRODUCT(1+P$7:P71)</f>
        <v>1058846.12810328</v>
      </c>
    </row>
    <row r="72" customFormat="false" ht="15" hidden="false" customHeight="true" outlineLevel="0" collapsed="false">
      <c r="A72" s="49" t="n">
        <v>65</v>
      </c>
      <c r="B72" s="49" t="n">
        <v>65</v>
      </c>
      <c r="C72" s="50" t="n">
        <f aca="false">Inputs!B17</f>
        <v>0.065</v>
      </c>
      <c r="D72" s="50" t="n">
        <f aca="false">Inputs!B16</f>
        <v>0</v>
      </c>
      <c r="E72" s="51" t="n">
        <f aca="false">(E71+Projection!J70)*(1+C72)</f>
        <v>2105505.98056276</v>
      </c>
      <c r="F72" s="51" t="n">
        <f aca="false">E72/(1+Inputs!B16)^(65+1)</f>
        <v>2105505.98056276</v>
      </c>
      <c r="G72" s="50" t="n">
        <f aca="false">Inputs!B17</f>
        <v>0.065</v>
      </c>
      <c r="H72" s="50" t="n">
        <f aca="false">Inputs!B16</f>
        <v>0</v>
      </c>
      <c r="I72" s="51" t="n">
        <f aca="false">(I71+Projection!J70)*(1+G72)</f>
        <v>1134473.00770315</v>
      </c>
      <c r="J72" s="51" t="n">
        <f aca="false">I72/PRODUCT(1+H$7:H72)</f>
        <v>1134473.00770315</v>
      </c>
      <c r="K72" s="50" t="n">
        <f aca="false">Inputs!B17</f>
        <v>0.065</v>
      </c>
      <c r="L72" s="50" t="n">
        <f aca="false">Inputs!B16</f>
        <v>0</v>
      </c>
      <c r="M72" s="51" t="n">
        <f aca="false">(M71+Projection!J70)*(1+K72)</f>
        <v>2220617.40479531</v>
      </c>
      <c r="N72" s="51" t="n">
        <f aca="false">M72/PRODUCT(1+L$7:L72)</f>
        <v>2220617.40479531</v>
      </c>
      <c r="O72" s="50" t="n">
        <f aca="false">Inputs!B17</f>
        <v>0.065</v>
      </c>
      <c r="P72" s="50" t="n">
        <f aca="false">Inputs!B16</f>
        <v>0</v>
      </c>
      <c r="Q72" s="51" t="n">
        <f aca="false">(Q71+Projection!J70)*(1+O72)</f>
        <v>1131878.27946042</v>
      </c>
      <c r="R72" s="51" t="n">
        <f aca="false">Q72/PRODUCT(1+P$7:P72)</f>
        <v>1131878.27946042</v>
      </c>
    </row>
    <row r="73" customFormat="false" ht="15" hidden="false" customHeight="true" outlineLevel="0" collapsed="false">
      <c r="A73" s="49" t="n">
        <v>66</v>
      </c>
      <c r="B73" s="49" t="n">
        <v>66</v>
      </c>
      <c r="C73" s="50" t="n">
        <f aca="false">Inputs!B17</f>
        <v>0.065</v>
      </c>
      <c r="D73" s="50" t="n">
        <f aca="false">Inputs!B16</f>
        <v>0</v>
      </c>
      <c r="E73" s="51" t="n">
        <f aca="false">(E72+Projection!J71)*(1+C73)</f>
        <v>2246633.81565856</v>
      </c>
      <c r="F73" s="51" t="n">
        <f aca="false">E73/(1+Inputs!B16)^(66+1)</f>
        <v>2246633.81565856</v>
      </c>
      <c r="G73" s="50" t="n">
        <f aca="false">Inputs!B17</f>
        <v>0.065</v>
      </c>
      <c r="H73" s="50" t="n">
        <f aca="false">Inputs!B16</f>
        <v>0</v>
      </c>
      <c r="I73" s="51" t="n">
        <f aca="false">(I72+Projection!J71)*(1+G73)</f>
        <v>1212483.69956308</v>
      </c>
      <c r="J73" s="51" t="n">
        <f aca="false">I73/PRODUCT(1+H$7:H73)</f>
        <v>1212483.69956308</v>
      </c>
      <c r="K73" s="50" t="n">
        <f aca="false">Inputs!B17</f>
        <v>0.065</v>
      </c>
      <c r="L73" s="50" t="n">
        <f aca="false">Inputs!B16</f>
        <v>0</v>
      </c>
      <c r="M73" s="51" t="n">
        <f aca="false">(M72+Projection!J71)*(1+K73)</f>
        <v>2369227.48246623</v>
      </c>
      <c r="N73" s="51" t="n">
        <f aca="false">M73/PRODUCT(1+L$7:L73)</f>
        <v>2369227.48246623</v>
      </c>
      <c r="O73" s="50" t="n">
        <f aca="false">Inputs!B17</f>
        <v>0.065</v>
      </c>
      <c r="P73" s="50" t="n">
        <f aca="false">Inputs!B16</f>
        <v>0</v>
      </c>
      <c r="Q73" s="51" t="n">
        <f aca="false">(Q72+Projection!J71)*(1+O73)</f>
        <v>1209720.31398457</v>
      </c>
      <c r="R73" s="51" t="n">
        <f aca="false">Q73/PRODUCT(1+P$7:P73)</f>
        <v>1209720.31398457</v>
      </c>
    </row>
    <row r="74" customFormat="false" ht="15" hidden="false" customHeight="true" outlineLevel="0" collapsed="false">
      <c r="A74" s="49" t="n">
        <v>67</v>
      </c>
      <c r="B74" s="49" t="n">
        <v>67</v>
      </c>
      <c r="C74" s="50" t="n">
        <f aca="false">Inputs!B17</f>
        <v>0.065</v>
      </c>
      <c r="D74" s="50" t="n">
        <f aca="false">Inputs!B16</f>
        <v>0</v>
      </c>
      <c r="E74" s="51" t="n">
        <f aca="false">(E73+Projection!J72)*(1+C74)</f>
        <v>2396998.69057828</v>
      </c>
      <c r="F74" s="51" t="n">
        <f aca="false">E74/(1+Inputs!B16)^(67+1)</f>
        <v>2396998.69057828</v>
      </c>
      <c r="G74" s="50" t="n">
        <f aca="false">Inputs!B17</f>
        <v>0.065</v>
      </c>
      <c r="H74" s="50" t="n">
        <f aca="false">Inputs!B16</f>
        <v>0</v>
      </c>
      <c r="I74" s="51" t="n">
        <f aca="false">(I73+Projection!J72)*(1+G74)</f>
        <v>1295628.81693659</v>
      </c>
      <c r="J74" s="51" t="n">
        <f aca="false">I74/PRODUCT(1+H$7:H74)</f>
        <v>1295628.81693659</v>
      </c>
      <c r="K74" s="50" t="n">
        <f aca="false">Inputs!B17</f>
        <v>0.065</v>
      </c>
      <c r="L74" s="50" t="n">
        <f aca="false">Inputs!B16</f>
        <v>0</v>
      </c>
      <c r="M74" s="51" t="n">
        <f aca="false">(M73+Projection!J72)*(1+K74)</f>
        <v>2527560.94572844</v>
      </c>
      <c r="N74" s="51" t="n">
        <f aca="false">M74/PRODUCT(1+L$7:L74)</f>
        <v>2527560.94572844</v>
      </c>
      <c r="O74" s="50" t="n">
        <f aca="false">Inputs!B17</f>
        <v>0.065</v>
      </c>
      <c r="P74" s="50" t="n">
        <f aca="false">Inputs!B16</f>
        <v>0</v>
      </c>
      <c r="Q74" s="51" t="n">
        <f aca="false">(Q73+Projection!J72)*(1+O74)</f>
        <v>1292685.81129547</v>
      </c>
      <c r="R74" s="51" t="n">
        <f aca="false">Q74/PRODUCT(1+P$7:P74)</f>
        <v>1292685.81129547</v>
      </c>
    </row>
    <row r="75" customFormat="false" ht="15" hidden="false" customHeight="true" outlineLevel="0" collapsed="false">
      <c r="A75" s="49" t="n">
        <v>68</v>
      </c>
      <c r="B75" s="49" t="n">
        <v>68</v>
      </c>
      <c r="C75" s="50" t="n">
        <f aca="false">Inputs!B17</f>
        <v>0.065</v>
      </c>
      <c r="D75" s="50" t="n">
        <f aca="false">Inputs!B16</f>
        <v>0</v>
      </c>
      <c r="E75" s="51" t="n">
        <f aca="false">(E74+Projection!J73)*(1+C75)</f>
        <v>2557201.96411257</v>
      </c>
      <c r="F75" s="51" t="n">
        <f aca="false">E75/(1+Inputs!B16)^(68+1)</f>
        <v>2557201.96411257</v>
      </c>
      <c r="G75" s="50" t="n">
        <f aca="false">Inputs!B17</f>
        <v>0.065</v>
      </c>
      <c r="H75" s="50" t="n">
        <f aca="false">Inputs!B16</f>
        <v>0</v>
      </c>
      <c r="I75" s="51" t="n">
        <f aca="false">(I74+Projection!J73)*(1+G75)</f>
        <v>1384243.04868418</v>
      </c>
      <c r="J75" s="51" t="n">
        <f aca="false">I75/PRODUCT(1+H$7:H75)</f>
        <v>1384243.04868418</v>
      </c>
      <c r="K75" s="50" t="n">
        <f aca="false">Inputs!B17</f>
        <v>0.065</v>
      </c>
      <c r="L75" s="50" t="n">
        <f aca="false">Inputs!B16</f>
        <v>0</v>
      </c>
      <c r="M75" s="51" t="n">
        <f aca="false">(M74+Projection!J73)*(1+K75)</f>
        <v>2696250.7658475</v>
      </c>
      <c r="N75" s="51" t="n">
        <f aca="false">M75/PRODUCT(1+L$7:L75)</f>
        <v>2696250.7658475</v>
      </c>
      <c r="O75" s="50" t="n">
        <f aca="false">Inputs!B17</f>
        <v>0.065</v>
      </c>
      <c r="P75" s="50" t="n">
        <f aca="false">Inputs!B16</f>
        <v>0</v>
      </c>
      <c r="Q75" s="51" t="n">
        <f aca="false">(Q74+Projection!J73)*(1+O75)</f>
        <v>1381108.74767639</v>
      </c>
      <c r="R75" s="51" t="n">
        <f aca="false">Q75/PRODUCT(1+P$7:P75)</f>
        <v>1381108.74767639</v>
      </c>
    </row>
    <row r="76" customFormat="false" ht="15" hidden="false" customHeight="true" outlineLevel="0" collapsed="false">
      <c r="A76" s="49" t="n">
        <v>69</v>
      </c>
      <c r="B76" s="49" t="n">
        <v>69</v>
      </c>
      <c r="C76" s="50" t="n">
        <f aca="false">Inputs!B17</f>
        <v>0.065</v>
      </c>
      <c r="D76" s="50" t="n">
        <f aca="false">Inputs!B16</f>
        <v>0</v>
      </c>
      <c r="E76" s="51" t="n">
        <f aca="false">(E75+Projection!J74)*(1+C76)</f>
        <v>2727884.09757058</v>
      </c>
      <c r="F76" s="51" t="n">
        <f aca="false">E76/(1+Inputs!B16)^(69+1)</f>
        <v>2727884.09757058</v>
      </c>
      <c r="G76" s="50" t="n">
        <f aca="false">Inputs!B17</f>
        <v>0.065</v>
      </c>
      <c r="H76" s="50" t="n">
        <f aca="false">Inputs!B16</f>
        <v>0</v>
      </c>
      <c r="I76" s="51" t="n">
        <f aca="false">(I75+Projection!J74)*(1+G76)</f>
        <v>1478682.85263934</v>
      </c>
      <c r="J76" s="51" t="n">
        <f aca="false">I76/PRODUCT(1+H$7:H76)</f>
        <v>1478682.85263934</v>
      </c>
      <c r="K76" s="50" t="n">
        <f aca="false">Inputs!B17</f>
        <v>0.065</v>
      </c>
      <c r="L76" s="50" t="n">
        <f aca="false">Inputs!B16</f>
        <v>0</v>
      </c>
      <c r="M76" s="51" t="n">
        <f aca="false">(M75+Projection!J74)*(1+K76)</f>
        <v>2875971.07141828</v>
      </c>
      <c r="N76" s="51" t="n">
        <f aca="false">M76/PRODUCT(1+L$7:L76)</f>
        <v>2875971.07141828</v>
      </c>
      <c r="O76" s="50" t="n">
        <f aca="false">Inputs!B17</f>
        <v>0.065</v>
      </c>
      <c r="P76" s="50" t="n">
        <f aca="false">Inputs!B16</f>
        <v>0</v>
      </c>
      <c r="Q76" s="51" t="n">
        <f aca="false">(Q75+Projection!J74)*(1+O76)</f>
        <v>1475344.82206605</v>
      </c>
      <c r="R76" s="51" t="n">
        <f aca="false">Q76/PRODUCT(1+P$7:P76)</f>
        <v>1475344.82206605</v>
      </c>
    </row>
    <row r="77" customFormat="false" ht="15" hidden="false" customHeight="true" outlineLevel="0" collapsed="false">
      <c r="A77" s="49" t="n">
        <v>70</v>
      </c>
      <c r="B77" s="49" t="n">
        <v>70</v>
      </c>
      <c r="C77" s="50" t="n">
        <f aca="false">Inputs!B17</f>
        <v>0.065</v>
      </c>
      <c r="D77" s="50" t="n">
        <f aca="false">Inputs!B16</f>
        <v>0</v>
      </c>
      <c r="E77" s="51" t="n">
        <f aca="false">(E76+Projection!J75)*(1+C77)</f>
        <v>2909727.19665546</v>
      </c>
      <c r="F77" s="51" t="n">
        <f aca="false">E77/(1+Inputs!B16)^(70+1)</f>
        <v>2909727.19665546</v>
      </c>
      <c r="G77" s="50" t="n">
        <f aca="false">Inputs!B17</f>
        <v>0.065</v>
      </c>
      <c r="H77" s="50" t="n">
        <f aca="false">Inputs!B16</f>
        <v>0</v>
      </c>
      <c r="I77" s="51" t="n">
        <f aca="false">(I76+Projection!J75)*(1+G77)</f>
        <v>1579327.87080369</v>
      </c>
      <c r="J77" s="51" t="n">
        <f aca="false">I77/PRODUCT(1+H$7:H77)</f>
        <v>1579327.87080369</v>
      </c>
      <c r="K77" s="50" t="n">
        <f aca="false">Inputs!B17</f>
        <v>0.065</v>
      </c>
      <c r="L77" s="50" t="n">
        <f aca="false">Inputs!B16</f>
        <v>0</v>
      </c>
      <c r="M77" s="51" t="n">
        <f aca="false">(M76+Projection!J75)*(1+K77)</f>
        <v>3067439.82380326</v>
      </c>
      <c r="N77" s="51" t="n">
        <f aca="false">M77/PRODUCT(1+L$7:L77)</f>
        <v>3067439.82380326</v>
      </c>
      <c r="O77" s="50" t="n">
        <f aca="false">Inputs!B17</f>
        <v>0.065</v>
      </c>
      <c r="P77" s="50" t="n">
        <f aca="false">Inputs!B16</f>
        <v>0</v>
      </c>
      <c r="Q77" s="51" t="n">
        <f aca="false">(Q76+Projection!J75)*(1+O77)</f>
        <v>1575772.86824313</v>
      </c>
      <c r="R77" s="51" t="n">
        <f aca="false">Q77/PRODUCT(1+P$7:P77)</f>
        <v>1575772.86824313</v>
      </c>
    </row>
    <row r="78" customFormat="false" ht="15" hidden="false" customHeight="true" outlineLevel="0" collapsed="false">
      <c r="A78" s="49" t="n">
        <v>71</v>
      </c>
      <c r="B78" s="49" t="n">
        <v>71</v>
      </c>
      <c r="C78" s="50" t="n">
        <f aca="false">Inputs!B17</f>
        <v>0.065</v>
      </c>
      <c r="D78" s="50" t="n">
        <f aca="false">Inputs!B16</f>
        <v>0</v>
      </c>
      <c r="E78" s="51" t="n">
        <f aca="false">(E77+Projection!J76)*(1+C78)</f>
        <v>3103457.71856508</v>
      </c>
      <c r="F78" s="51" t="n">
        <f aca="false">E78/(1+Inputs!B16)^(71+1)</f>
        <v>3103457.71856508</v>
      </c>
      <c r="G78" s="50" t="n">
        <f aca="false">Inputs!B17</f>
        <v>0.065</v>
      </c>
      <c r="H78" s="50" t="n">
        <f aca="false">Inputs!B16</f>
        <v>0</v>
      </c>
      <c r="I78" s="51" t="n">
        <f aca="false">(I77+Projection!J76)*(1+G78)</f>
        <v>1686582.43653294</v>
      </c>
      <c r="J78" s="51" t="n">
        <f aca="false">I78/PRODUCT(1+H$7:H78)</f>
        <v>1686582.43653294</v>
      </c>
      <c r="K78" s="50" t="n">
        <f aca="false">Inputs!B17</f>
        <v>0.065</v>
      </c>
      <c r="L78" s="50" t="n">
        <f aca="false">Inputs!B16</f>
        <v>0</v>
      </c>
      <c r="M78" s="51" t="n">
        <f aca="false">(M77+Projection!J76)*(1+K78)</f>
        <v>3271421.66647748</v>
      </c>
      <c r="N78" s="51" t="n">
        <f aca="false">M78/PRODUCT(1+L$7:L78)</f>
        <v>3271421.66647748</v>
      </c>
      <c r="O78" s="50" t="n">
        <f aca="false">Inputs!B17</f>
        <v>0.065</v>
      </c>
      <c r="P78" s="50" t="n">
        <f aca="false">Inputs!B16</f>
        <v>0</v>
      </c>
      <c r="Q78" s="51" t="n">
        <f aca="false">(Q77+Projection!J76)*(1+O78)</f>
        <v>1682796.35880594</v>
      </c>
      <c r="R78" s="51" t="n">
        <f aca="false">Q78/PRODUCT(1+P$7:P78)</f>
        <v>1682796.35880594</v>
      </c>
    </row>
    <row r="79" customFormat="false" ht="15" hidden="false" customHeight="true" outlineLevel="0" collapsed="false">
      <c r="A79" s="49" t="n">
        <v>72</v>
      </c>
      <c r="B79" s="49" t="n">
        <v>72</v>
      </c>
      <c r="C79" s="50" t="n">
        <f aca="false">Inputs!B17</f>
        <v>0.065</v>
      </c>
      <c r="D79" s="50" t="n">
        <f aca="false">Inputs!B16</f>
        <v>0</v>
      </c>
      <c r="E79" s="51" t="n">
        <f aca="false">(E78+Projection!J77)*(1+C79)</f>
        <v>3309849.35505743</v>
      </c>
      <c r="F79" s="51" t="n">
        <f aca="false">E79/(1+Inputs!B16)^(72+1)</f>
        <v>3309849.35505743</v>
      </c>
      <c r="G79" s="50" t="n">
        <f aca="false">Inputs!B17</f>
        <v>0.065</v>
      </c>
      <c r="H79" s="50" t="n">
        <f aca="false">Inputs!B16</f>
        <v>0</v>
      </c>
      <c r="I79" s="51" t="n">
        <f aca="false">(I78+Projection!J77)*(1+G79)</f>
        <v>1800877.1796932</v>
      </c>
      <c r="J79" s="51" t="n">
        <f aca="false">I79/PRODUCT(1+H$7:H79)</f>
        <v>1800877.1796932</v>
      </c>
      <c r="K79" s="50" t="n">
        <f aca="false">Inputs!B17</f>
        <v>0.065</v>
      </c>
      <c r="L79" s="50" t="n">
        <f aca="false">Inputs!B16</f>
        <v>0</v>
      </c>
      <c r="M79" s="51" t="n">
        <f aca="false">(M78+Projection!J77)*(1+K79)</f>
        <v>3488730.95958414</v>
      </c>
      <c r="N79" s="51" t="n">
        <f aca="false">M79/PRODUCT(1+L$7:L79)</f>
        <v>3488730.95958414</v>
      </c>
      <c r="O79" s="50" t="n">
        <f aca="false">Inputs!B17</f>
        <v>0.065</v>
      </c>
      <c r="P79" s="50" t="n">
        <f aca="false">Inputs!B16</f>
        <v>0</v>
      </c>
      <c r="Q79" s="51" t="n">
        <f aca="false">(Q78+Projection!J77)*(1+O79)</f>
        <v>1796845.00691395</v>
      </c>
      <c r="R79" s="51" t="n">
        <f aca="false">Q79/PRODUCT(1+P$7:P79)</f>
        <v>1796845.00691395</v>
      </c>
    </row>
    <row r="80" customFormat="false" ht="15" hidden="false" customHeight="true" outlineLevel="0" collapsed="false">
      <c r="A80" s="49" t="n">
        <v>73</v>
      </c>
      <c r="B80" s="49" t="n">
        <v>73</v>
      </c>
      <c r="C80" s="50" t="n">
        <f aca="false">Inputs!B17</f>
        <v>0.065</v>
      </c>
      <c r="D80" s="50" t="n">
        <f aca="false">Inputs!B16</f>
        <v>0</v>
      </c>
      <c r="E80" s="51" t="n">
        <f aca="false">(E79+Projection!J78)*(1+C80)</f>
        <v>3529726.10291859</v>
      </c>
      <c r="F80" s="51" t="n">
        <f aca="false">E80/(1+Inputs!B16)^(73+1)</f>
        <v>3529726.10291859</v>
      </c>
      <c r="G80" s="50" t="n">
        <f aca="false">Inputs!B17</f>
        <v>0.065</v>
      </c>
      <c r="H80" s="50" t="n">
        <f aca="false">Inputs!B16</f>
        <v>0</v>
      </c>
      <c r="I80" s="51" t="n">
        <f aca="false">(I79+Projection!J78)*(1+G80)</f>
        <v>1922670.73615568</v>
      </c>
      <c r="J80" s="51" t="n">
        <f aca="false">I80/PRODUCT(1+H$7:H80)</f>
        <v>1922670.73615568</v>
      </c>
      <c r="K80" s="50" t="n">
        <f aca="false">Inputs!B17</f>
        <v>0.065</v>
      </c>
      <c r="L80" s="50" t="n">
        <f aca="false">Inputs!B16</f>
        <v>0</v>
      </c>
      <c r="M80" s="51" t="n">
        <f aca="false">(M79+Projection!J78)*(1+K80)</f>
        <v>3720235.01173953</v>
      </c>
      <c r="N80" s="51" t="n">
        <f aca="false">M80/PRODUCT(1+L$7:L80)</f>
        <v>3720235.01173953</v>
      </c>
      <c r="O80" s="50" t="n">
        <f aca="false">Inputs!B17</f>
        <v>0.065</v>
      </c>
      <c r="P80" s="50" t="n">
        <f aca="false">Inputs!B16</f>
        <v>0</v>
      </c>
      <c r="Q80" s="51" t="n">
        <f aca="false">(Q79+Projection!J78)*(1+O80)</f>
        <v>1918376.47214578</v>
      </c>
      <c r="R80" s="51" t="n">
        <f aca="false">Q80/PRODUCT(1+P$7:P80)</f>
        <v>1918376.47214578</v>
      </c>
    </row>
    <row r="81" customFormat="false" ht="15" hidden="false" customHeight="true" outlineLevel="0" collapsed="false">
      <c r="A81" s="49" t="n">
        <v>74</v>
      </c>
      <c r="B81" s="49" t="n">
        <v>74</v>
      </c>
      <c r="C81" s="50" t="n">
        <f aca="false">Inputs!B17</f>
        <v>0.065</v>
      </c>
      <c r="D81" s="50" t="n">
        <f aca="false">Inputs!B16</f>
        <v>0</v>
      </c>
      <c r="E81" s="51" t="n">
        <f aca="false">(E80+Projection!J79)*(1+C81)</f>
        <v>3763965.53401434</v>
      </c>
      <c r="F81" s="51" t="n">
        <f aca="false">E81/(1+Inputs!B16)^(74+1)</f>
        <v>3763965.53401434</v>
      </c>
      <c r="G81" s="50" t="n">
        <f aca="false">Inputs!B17</f>
        <v>0.065</v>
      </c>
      <c r="H81" s="50" t="n">
        <f aca="false">Inputs!B16</f>
        <v>0</v>
      </c>
      <c r="I81" s="51" t="n">
        <f aca="false">(I80+Projection!J79)*(1+G81)</f>
        <v>2052451.56841185</v>
      </c>
      <c r="J81" s="51" t="n">
        <f aca="false">I81/PRODUCT(1+H$7:H81)</f>
        <v>2052451.56841185</v>
      </c>
      <c r="K81" s="50" t="n">
        <f aca="false">Inputs!B17</f>
        <v>0.065</v>
      </c>
      <c r="L81" s="50" t="n">
        <f aca="false">Inputs!B16</f>
        <v>0</v>
      </c>
      <c r="M81" s="51" t="n">
        <f aca="false">(M80+Projection!J79)*(1+K81)</f>
        <v>3966857.52190864</v>
      </c>
      <c r="N81" s="51" t="n">
        <f aca="false">M81/PRODUCT(1+L$7:L81)</f>
        <v>3966857.52190864</v>
      </c>
      <c r="O81" s="50" t="n">
        <f aca="false">Inputs!B17</f>
        <v>0.065</v>
      </c>
      <c r="P81" s="50" t="n">
        <f aca="false">Inputs!B16</f>
        <v>0</v>
      </c>
      <c r="Q81" s="51" t="n">
        <f aca="false">(Q80+Projection!J79)*(1+O81)</f>
        <v>2047878.1772413</v>
      </c>
      <c r="R81" s="51" t="n">
        <f aca="false">Q81/PRODUCT(1+P$7:P81)</f>
        <v>2047878.1772413</v>
      </c>
    </row>
    <row r="82" customFormat="false" ht="15" hidden="false" customHeight="true" outlineLevel="0" collapsed="false">
      <c r="A82" s="49" t="n">
        <v>75</v>
      </c>
      <c r="B82" s="49" t="n">
        <v>75</v>
      </c>
      <c r="C82" s="50" t="n">
        <f aca="false">Inputs!B17</f>
        <v>0.065</v>
      </c>
      <c r="D82" s="50" t="n">
        <f aca="false">Inputs!B16</f>
        <v>0</v>
      </c>
      <c r="E82" s="51" t="n">
        <f aca="false">(E81+Projection!J80)*(1+C82)</f>
        <v>4013502.27789856</v>
      </c>
      <c r="F82" s="51" t="n">
        <f aca="false">E82/(1+Inputs!B16)^(75+1)</f>
        <v>4013502.27789856</v>
      </c>
      <c r="G82" s="50" t="n">
        <f aca="false">Inputs!B17</f>
        <v>0.065</v>
      </c>
      <c r="H82" s="50" t="n">
        <f aca="false">Inputs!B16</f>
        <v>0</v>
      </c>
      <c r="I82" s="51" t="n">
        <f aca="false">(I81+Projection!J80)*(1+G82)</f>
        <v>2190739.90453191</v>
      </c>
      <c r="J82" s="51" t="n">
        <f aca="false">I82/PRODUCT(1+H$7:H82)</f>
        <v>2190739.90453191</v>
      </c>
      <c r="K82" s="50" t="n">
        <f aca="false">Inputs!B17</f>
        <v>0.065</v>
      </c>
      <c r="L82" s="50" t="n">
        <f aca="false">Inputs!B16</f>
        <v>0</v>
      </c>
      <c r="M82" s="51" t="n">
        <f aca="false">(M81+Projection!J80)*(1+K82)</f>
        <v>4229582.245006</v>
      </c>
      <c r="N82" s="51" t="n">
        <f aca="false">M82/PRODUCT(1+L$7:L82)</f>
        <v>4229582.245006</v>
      </c>
      <c r="O82" s="50" t="n">
        <f aca="false">Inputs!B17</f>
        <v>0.065</v>
      </c>
      <c r="P82" s="50" t="n">
        <f aca="false">Inputs!B16</f>
        <v>0</v>
      </c>
      <c r="Q82" s="51" t="n">
        <f aca="false">(Q81+Projection!J80)*(1+O82)</f>
        <v>2185869.24293528</v>
      </c>
      <c r="R82" s="51" t="n">
        <f aca="false">Q82/PRODUCT(1+P$7:P82)</f>
        <v>2185869.24293528</v>
      </c>
    </row>
    <row r="83" customFormat="false" ht="15" hidden="false" customHeight="true" outlineLevel="0" collapsed="false">
      <c r="A83" s="49" t="n">
        <v>76</v>
      </c>
      <c r="B83" s="49" t="n">
        <v>76</v>
      </c>
      <c r="C83" s="50" t="n">
        <f aca="false">Inputs!B17</f>
        <v>0.065</v>
      </c>
      <c r="D83" s="50" t="n">
        <f aca="false">Inputs!B16</f>
        <v>0</v>
      </c>
      <c r="E83" s="51" t="n">
        <f aca="false">(E82+Projection!J81)*(1+C83)</f>
        <v>4279331.73079457</v>
      </c>
      <c r="F83" s="51" t="n">
        <f aca="false">E83/(1+Inputs!B16)^(76+1)</f>
        <v>4279331.73079457</v>
      </c>
      <c r="G83" s="50" t="n">
        <f aca="false">Inputs!B17</f>
        <v>0.065</v>
      </c>
      <c r="H83" s="50" t="n">
        <f aca="false">Inputs!B16</f>
        <v>0</v>
      </c>
      <c r="I83" s="51" t="n">
        <f aca="false">(I82+Projection!J81)*(1+G83)</f>
        <v>2338089.80315909</v>
      </c>
      <c r="J83" s="51" t="n">
        <f aca="false">I83/PRODUCT(1+H$7:H83)</f>
        <v>2338089.80315909</v>
      </c>
      <c r="K83" s="50" t="n">
        <f aca="false">Inputs!B17</f>
        <v>0.065</v>
      </c>
      <c r="L83" s="50" t="n">
        <f aca="false">Inputs!B16</f>
        <v>0</v>
      </c>
      <c r="M83" s="51" t="n">
        <f aca="false">(M82+Projection!J81)*(1+K83)</f>
        <v>4509456.89576399</v>
      </c>
      <c r="N83" s="51" t="n">
        <f aca="false">M83/PRODUCT(1+L$7:L83)</f>
        <v>4509456.89576399</v>
      </c>
      <c r="O83" s="50" t="n">
        <f aca="false">Inputs!B17</f>
        <v>0.065</v>
      </c>
      <c r="P83" s="50" t="n">
        <f aca="false">Inputs!B16</f>
        <v>0</v>
      </c>
      <c r="Q83" s="51" t="n">
        <f aca="false">(Q82+Projection!J81)*(1+O83)</f>
        <v>2332902.54855867</v>
      </c>
      <c r="R83" s="51" t="n">
        <f aca="false">Q83/PRODUCT(1+P$7:P83)</f>
        <v>2332902.54855867</v>
      </c>
    </row>
    <row r="84" customFormat="false" ht="15" hidden="false" customHeight="true" outlineLevel="0" collapsed="false">
      <c r="A84" s="49" t="n">
        <v>77</v>
      </c>
      <c r="B84" s="49" t="n">
        <v>77</v>
      </c>
      <c r="C84" s="50" t="n">
        <f aca="false">Inputs!B17</f>
        <v>0.065</v>
      </c>
      <c r="D84" s="50" t="n">
        <f aca="false">Inputs!B16</f>
        <v>0</v>
      </c>
      <c r="E84" s="51" t="n">
        <f aca="false">(E83+Projection!J82)*(1+C84)</f>
        <v>4562514.00566363</v>
      </c>
      <c r="F84" s="51" t="n">
        <f aca="false">E84/(1+Inputs!B16)^(77+1)</f>
        <v>4562514.00566363</v>
      </c>
      <c r="G84" s="50" t="n">
        <f aca="false">Inputs!B17</f>
        <v>0.065</v>
      </c>
      <c r="H84" s="50" t="n">
        <f aca="false">Inputs!B16</f>
        <v>0</v>
      </c>
      <c r="I84" s="51" t="n">
        <f aca="false">(I83+Projection!J82)*(1+G84)</f>
        <v>2495091.35273184</v>
      </c>
      <c r="J84" s="51" t="n">
        <f aca="false">I84/PRODUCT(1+H$7:H84)</f>
        <v>2495091.35273184</v>
      </c>
      <c r="K84" s="50" t="n">
        <f aca="false">Inputs!B17</f>
        <v>0.065</v>
      </c>
      <c r="L84" s="50" t="n">
        <f aca="false">Inputs!B16</f>
        <v>0</v>
      </c>
      <c r="M84" s="51" t="n">
        <f aca="false">(M83+Projection!J82)*(1+K84)</f>
        <v>4807597.30635606</v>
      </c>
      <c r="N84" s="51" t="n">
        <f aca="false">M84/PRODUCT(1+L$7:L84)</f>
        <v>4807597.30635606</v>
      </c>
      <c r="O84" s="50" t="n">
        <f aca="false">Inputs!B17</f>
        <v>0.065</v>
      </c>
      <c r="P84" s="50" t="n">
        <f aca="false">Inputs!B16</f>
        <v>0</v>
      </c>
      <c r="Q84" s="51" t="n">
        <f aca="false">(Q83+Projection!J82)*(1+O84)</f>
        <v>2489566.9265824</v>
      </c>
      <c r="R84" s="51" t="n">
        <f aca="false">Q84/PRODUCT(1+P$7:P84)</f>
        <v>2489566.9265824</v>
      </c>
    </row>
    <row r="85" customFormat="false" ht="15" hidden="false" customHeight="true" outlineLevel="0" collapsed="false">
      <c r="A85" s="49" t="n">
        <v>78</v>
      </c>
      <c r="B85" s="49" t="n">
        <v>78</v>
      </c>
      <c r="C85" s="50" t="n">
        <f aca="false">Inputs!B17</f>
        <v>0.065</v>
      </c>
      <c r="D85" s="50" t="n">
        <f aca="false">Inputs!B16</f>
        <v>0</v>
      </c>
      <c r="E85" s="51" t="n">
        <f aca="false">(E84+Projection!J83)*(1+C85)</f>
        <v>4864178.13903153</v>
      </c>
      <c r="F85" s="51" t="n">
        <f aca="false">E85/(1+Inputs!B16)^(78+1)</f>
        <v>4864178.13903153</v>
      </c>
      <c r="G85" s="50" t="n">
        <f aca="false">Inputs!B17</f>
        <v>0.065</v>
      </c>
      <c r="H85" s="50" t="n">
        <f aca="false">Inputs!B16</f>
        <v>0</v>
      </c>
      <c r="I85" s="51" t="n">
        <f aca="false">(I84+Projection!J83)*(1+G85)</f>
        <v>2662373.01365917</v>
      </c>
      <c r="J85" s="51" t="n">
        <f aca="false">I85/PRODUCT(1+H$7:H85)</f>
        <v>2662373.01365917</v>
      </c>
      <c r="K85" s="50" t="n">
        <f aca="false">Inputs!B17</f>
        <v>0.065</v>
      </c>
      <c r="L85" s="50" t="n">
        <f aca="false">Inputs!B16</f>
        <v>0</v>
      </c>
      <c r="M85" s="51" t="n">
        <f aca="false">(M84+Projection!J83)*(1+K85)</f>
        <v>5125191.85426897</v>
      </c>
      <c r="N85" s="51" t="n">
        <f aca="false">M85/PRODUCT(1+L$7:L85)</f>
        <v>5125191.85426897</v>
      </c>
      <c r="O85" s="50" t="n">
        <f aca="false">Inputs!B17</f>
        <v>0.065</v>
      </c>
      <c r="P85" s="50" t="n">
        <f aca="false">Inputs!B16</f>
        <v>0</v>
      </c>
      <c r="Q85" s="51" t="n">
        <f aca="false">(Q84+Projection!J83)*(1+O85)</f>
        <v>2656489.49981002</v>
      </c>
      <c r="R85" s="51" t="n">
        <f aca="false">Q85/PRODUCT(1+P$7:P85)</f>
        <v>2656489.49981002</v>
      </c>
    </row>
    <row r="86" customFormat="false" ht="15" hidden="false" customHeight="true" outlineLevel="0" collapsed="false">
      <c r="A86" s="49" t="n">
        <v>79</v>
      </c>
      <c r="B86" s="49" t="n">
        <v>79</v>
      </c>
      <c r="C86" s="50" t="n">
        <f aca="false">Inputs!B17</f>
        <v>0.065</v>
      </c>
      <c r="D86" s="50" t="n">
        <f aca="false">Inputs!B16</f>
        <v>0</v>
      </c>
      <c r="E86" s="51" t="n">
        <f aca="false">(E85+Projection!J84)*(1+C86)</f>
        <v>5185526.57126237</v>
      </c>
      <c r="F86" s="51" t="n">
        <f aca="false">E86/(1+Inputs!B16)^(79+1)</f>
        <v>5185526.57126237</v>
      </c>
      <c r="G86" s="50" t="n">
        <f aca="false">Inputs!B17</f>
        <v>0.065</v>
      </c>
      <c r="H86" s="50" t="n">
        <f aca="false">Inputs!B16</f>
        <v>0</v>
      </c>
      <c r="I86" s="51" t="n">
        <f aca="false">(I85+Projection!J84)*(1+G86)</f>
        <v>2840604.11274081</v>
      </c>
      <c r="J86" s="51" t="n">
        <f aca="false">I86/PRODUCT(1+H$7:H86)</f>
        <v>2840604.11274081</v>
      </c>
      <c r="K86" s="50" t="n">
        <f aca="false">Inputs!B17</f>
        <v>0.065</v>
      </c>
      <c r="L86" s="50" t="n">
        <f aca="false">Inputs!B16</f>
        <v>0</v>
      </c>
      <c r="M86" s="51" t="n">
        <f aca="false">(M85+Projection!J84)*(1+K86)</f>
        <v>5463506.17799024</v>
      </c>
      <c r="N86" s="51" t="n">
        <f aca="false">M86/PRODUCT(1+L$7:L86)</f>
        <v>5463506.17799024</v>
      </c>
      <c r="O86" s="50" t="n">
        <f aca="false">Inputs!B17</f>
        <v>0.065</v>
      </c>
      <c r="P86" s="50" t="n">
        <f aca="false">Inputs!B16</f>
        <v>0</v>
      </c>
      <c r="Q86" s="51" t="n">
        <f aca="false">(Q85+Projection!J84)*(1+O86)</f>
        <v>2834338.17049146</v>
      </c>
      <c r="R86" s="51" t="n">
        <f aca="false">Q86/PRODUCT(1+P$7:P86)</f>
        <v>2834338.17049146</v>
      </c>
    </row>
    <row r="87" customFormat="false" ht="15" hidden="false" customHeight="true" outlineLevel="0" collapsed="false">
      <c r="A87" s="49" t="n">
        <v>80</v>
      </c>
      <c r="B87" s="49" t="n">
        <v>80</v>
      </c>
      <c r="C87" s="50" t="n">
        <f aca="false">Inputs!B17</f>
        <v>0.065</v>
      </c>
      <c r="D87" s="50" t="n">
        <f aca="false">Inputs!B16</f>
        <v>0</v>
      </c>
      <c r="E87" s="51" t="n">
        <f aca="false">(E86+Projection!J85)*(1+C87)</f>
        <v>5527839.91805379</v>
      </c>
      <c r="F87" s="51" t="n">
        <f aca="false">E87/(1+Inputs!B16)^(80+1)</f>
        <v>5527839.91805379</v>
      </c>
      <c r="G87" s="50" t="n">
        <f aca="false">Inputs!B17</f>
        <v>0.065</v>
      </c>
      <c r="H87" s="50" t="n">
        <f aca="false">Inputs!B16</f>
        <v>0</v>
      </c>
      <c r="I87" s="51" t="n">
        <f aca="false">(I86+Projection!J85)*(1+G87)</f>
        <v>3030497.49972833</v>
      </c>
      <c r="J87" s="51" t="n">
        <f aca="false">I87/PRODUCT(1+H$7:H87)</f>
        <v>3030497.49972833</v>
      </c>
      <c r="K87" s="50" t="n">
        <f aca="false">Inputs!B17</f>
        <v>0.065</v>
      </c>
      <c r="L87" s="50" t="n">
        <f aca="false">Inputs!B16</f>
        <v>0</v>
      </c>
      <c r="M87" s="51" t="n">
        <f aca="false">(M86+Projection!J85)*(1+K87)</f>
        <v>5823888.19921898</v>
      </c>
      <c r="N87" s="51" t="n">
        <f aca="false">M87/PRODUCT(1+L$7:L87)</f>
        <v>5823888.19921898</v>
      </c>
      <c r="O87" s="50" t="n">
        <f aca="false">Inputs!B17</f>
        <v>0.065</v>
      </c>
      <c r="P87" s="50" t="n">
        <f aca="false">Inputs!B16</f>
        <v>0</v>
      </c>
      <c r="Q87" s="51" t="n">
        <f aca="false">(Q86+Projection!J85)*(1+O87)</f>
        <v>3023824.27123278</v>
      </c>
      <c r="R87" s="51" t="n">
        <f aca="false">Q87/PRODUCT(1+P$7:P87)</f>
        <v>3023824.27123278</v>
      </c>
    </row>
    <row r="89" customFormat="false" ht="15" hidden="false" customHeight="true" outlineLevel="0" collapsed="false">
      <c r="A89" s="4" t="s">
        <v>172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customFormat="false" ht="31.5" hidden="false" customHeight="true" outlineLevel="0" collapsed="false">
      <c r="A90" s="34" t="s">
        <v>100</v>
      </c>
      <c r="B90" s="34" t="s">
        <v>61</v>
      </c>
      <c r="C90" s="34" t="s">
        <v>173</v>
      </c>
      <c r="D90" s="34" t="s">
        <v>174</v>
      </c>
      <c r="E90" s="34" t="s">
        <v>175</v>
      </c>
    </row>
    <row r="91" customFormat="false" ht="15" hidden="false" customHeight="true" outlineLevel="0" collapsed="false">
      <c r="A91" s="5" t="s">
        <v>176</v>
      </c>
      <c r="B91" s="36" t="n">
        <f aca="false">INDEX(F7:F87,MATCH(Inputs!B23,A7:A87,0))</f>
        <v>2105505.98056276</v>
      </c>
      <c r="C91" s="36" t="n">
        <f aca="false">B91*Inputs!B24</f>
        <v>84220.2392225102</v>
      </c>
      <c r="D91" s="44" t="s">
        <v>177</v>
      </c>
      <c r="E91" s="53" t="n">
        <f aca="false">B91/87571</f>
        <v>24.0434159774669</v>
      </c>
    </row>
    <row r="92" customFormat="false" ht="15" hidden="false" customHeight="true" outlineLevel="0" collapsed="false">
      <c r="A92" s="5" t="s">
        <v>178</v>
      </c>
      <c r="B92" s="54" t="n">
        <f aca="false">INDEX(J7:J87,MATCH(Inputs!B23,A7:A87,0))</f>
        <v>1134473.00770315</v>
      </c>
      <c r="C92" s="54" t="n">
        <f aca="false">B92*Inputs!B24</f>
        <v>45378.920308126</v>
      </c>
      <c r="D92" s="55" t="n">
        <f aca="false">(B92-B91)/B91</f>
        <v>-0.461187468391835</v>
      </c>
      <c r="E92" s="53" t="n">
        <f aca="false">B92/87571</f>
        <v>12.9548938313272</v>
      </c>
    </row>
    <row r="93" customFormat="false" ht="15" hidden="false" customHeight="true" outlineLevel="0" collapsed="false">
      <c r="A93" s="5" t="s">
        <v>179</v>
      </c>
      <c r="B93" s="54" t="n">
        <f aca="false">INDEX(N7:N87,MATCH(Inputs!B23,A7:A87,0))</f>
        <v>2220617.40479531</v>
      </c>
      <c r="C93" s="54" t="n">
        <f aca="false">B93*Inputs!B24</f>
        <v>88824.6961918123</v>
      </c>
      <c r="D93" s="55" t="n">
        <f aca="false">(B93-B91)/B91</f>
        <v>0.0546716206437871</v>
      </c>
      <c r="E93" s="53" t="n">
        <f aca="false">B93/87571</f>
        <v>25.3579084947678</v>
      </c>
    </row>
    <row r="94" customFormat="false" ht="15" hidden="false" customHeight="true" outlineLevel="0" collapsed="false">
      <c r="A94" s="5" t="s">
        <v>180</v>
      </c>
      <c r="B94" s="54" t="n">
        <f aca="false">INDEX(R7:R87,MATCH(Inputs!B23,A7:A87,0))</f>
        <v>1131878.27946042</v>
      </c>
      <c r="C94" s="54" t="n">
        <f aca="false">B94*Inputs!B24</f>
        <v>45275.1311784166</v>
      </c>
      <c r="D94" s="55" t="n">
        <f aca="false">(B94-B91)/B91</f>
        <v>-0.462419822166504</v>
      </c>
      <c r="E94" s="53" t="n">
        <f aca="false">B94/87571</f>
        <v>12.9252638368914</v>
      </c>
    </row>
    <row r="97" customFormat="false" ht="15" hidden="false" customHeight="true" outlineLevel="0" collapsed="false">
      <c r="A97" s="4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customFormat="false" ht="18" hidden="false" customHeight="true" outlineLevel="0" collapsed="false">
      <c r="A98" s="3" t="s">
        <v>182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customFormat="false" ht="18" hidden="false" customHeight="true" outlineLevel="0" collapsed="false">
      <c r="A99" s="3" t="s">
        <v>183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customFormat="false" ht="18" hidden="false" customHeight="true" outlineLevel="0" collapsed="false">
      <c r="A100" s="3" t="s">
        <v>184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customFormat="false" ht="18" hidden="false" customHeight="true" outlineLevel="0" collapsed="false">
      <c r="A101" s="3" t="s">
        <v>185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customFormat="false" ht="18" hidden="false" customHeight="true" outlineLevel="0" collapsed="false">
      <c r="A102" s="3" t="s">
        <v>186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</sheetData>
  <mergeCells count="14">
    <mergeCell ref="A1:M1"/>
    <mergeCell ref="A2:R2"/>
    <mergeCell ref="A4:R4"/>
    <mergeCell ref="C5:F5"/>
    <mergeCell ref="G5:J5"/>
    <mergeCell ref="K5:N5"/>
    <mergeCell ref="O5:R5"/>
    <mergeCell ref="A89:R89"/>
    <mergeCell ref="A97:R97"/>
    <mergeCell ref="A98:R98"/>
    <mergeCell ref="A99:R99"/>
    <mergeCell ref="A100:R100"/>
    <mergeCell ref="A101:R101"/>
    <mergeCell ref="A102:R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22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2" t="s">
        <v>187</v>
      </c>
      <c r="B1" s="2"/>
      <c r="C1" s="2"/>
      <c r="D1" s="2"/>
      <c r="E1" s="2"/>
    </row>
    <row r="2" customFormat="false" ht="15" hidden="false" customHeight="true" outlineLevel="0" collapsed="false">
      <c r="A2" s="17" t="s">
        <v>188</v>
      </c>
      <c r="B2" s="17"/>
      <c r="C2" s="17"/>
      <c r="D2" s="17"/>
      <c r="E2" s="17"/>
    </row>
    <row r="3" customFormat="false" ht="15" hidden="false" customHeight="true" outlineLevel="0" collapsed="false">
      <c r="A3" s="10" t="s">
        <v>189</v>
      </c>
    </row>
    <row r="4" customFormat="false" ht="15" hidden="false" customHeight="true" outlineLevel="0" collapsed="false">
      <c r="A4" s="9" t="s">
        <v>6</v>
      </c>
      <c r="B4" s="34" t="s">
        <v>190</v>
      </c>
      <c r="C4" s="34" t="s">
        <v>191</v>
      </c>
      <c r="D4" s="34" t="s">
        <v>192</v>
      </c>
      <c r="E4" s="9" t="s">
        <v>9</v>
      </c>
    </row>
    <row r="5" customFormat="false" ht="15" hidden="false" customHeight="true" outlineLevel="0" collapsed="false">
      <c r="A5" s="56" t="s">
        <v>193</v>
      </c>
      <c r="B5" s="57" t="s">
        <v>194</v>
      </c>
      <c r="C5" s="57" t="s">
        <v>194</v>
      </c>
      <c r="D5" s="57" t="s">
        <v>194</v>
      </c>
      <c r="E5" s="56" t="s">
        <v>195</v>
      </c>
    </row>
    <row r="6" customFormat="false" ht="15" hidden="false" customHeight="true" outlineLevel="0" collapsed="false">
      <c r="A6" s="56" t="s">
        <v>196</v>
      </c>
      <c r="B6" s="57" t="s">
        <v>197</v>
      </c>
      <c r="C6" s="57" t="s">
        <v>198</v>
      </c>
      <c r="D6" s="57" t="s">
        <v>197</v>
      </c>
      <c r="E6" s="56" t="s">
        <v>199</v>
      </c>
    </row>
    <row r="7" customFormat="false" ht="15" hidden="false" customHeight="true" outlineLevel="0" collapsed="false">
      <c r="A7" s="56" t="s">
        <v>200</v>
      </c>
      <c r="B7" s="57" t="s">
        <v>201</v>
      </c>
      <c r="C7" s="57" t="s">
        <v>201</v>
      </c>
      <c r="D7" s="57" t="s">
        <v>202</v>
      </c>
      <c r="E7" s="56" t="s">
        <v>203</v>
      </c>
    </row>
    <row r="8" customFormat="false" ht="15" hidden="false" customHeight="true" outlineLevel="0" collapsed="false">
      <c r="A8" s="56" t="s">
        <v>204</v>
      </c>
      <c r="B8" s="57" t="s">
        <v>205</v>
      </c>
      <c r="C8" s="57" t="s">
        <v>201</v>
      </c>
      <c r="D8" s="57" t="s">
        <v>206</v>
      </c>
      <c r="E8" s="56" t="s">
        <v>207</v>
      </c>
    </row>
    <row r="9" customFormat="false" ht="15" hidden="false" customHeight="true" outlineLevel="0" collapsed="false">
      <c r="A9" s="56" t="s">
        <v>208</v>
      </c>
      <c r="B9" s="57" t="s">
        <v>209</v>
      </c>
      <c r="C9" s="57" t="s">
        <v>210</v>
      </c>
      <c r="D9" s="57" t="s">
        <v>211</v>
      </c>
      <c r="E9" s="56" t="s">
        <v>212</v>
      </c>
    </row>
    <row r="10" customFormat="false" ht="15" hidden="false" customHeight="true" outlineLevel="0" collapsed="false">
      <c r="A10" s="56" t="s">
        <v>213</v>
      </c>
      <c r="B10" s="57" t="s">
        <v>214</v>
      </c>
      <c r="C10" s="57" t="s">
        <v>215</v>
      </c>
      <c r="D10" s="57" t="s">
        <v>216</v>
      </c>
      <c r="E10" s="56" t="s">
        <v>217</v>
      </c>
    </row>
    <row r="11" customFormat="false" ht="15" hidden="false" customHeight="true" outlineLevel="0" collapsed="false">
      <c r="A11" s="56" t="s">
        <v>218</v>
      </c>
      <c r="B11" s="57" t="s">
        <v>219</v>
      </c>
      <c r="C11" s="57" t="s">
        <v>219</v>
      </c>
      <c r="D11" s="57" t="s">
        <v>220</v>
      </c>
      <c r="E11" s="56" t="s">
        <v>221</v>
      </c>
    </row>
    <row r="12" customFormat="false" ht="15" hidden="false" customHeight="true" outlineLevel="0" collapsed="false">
      <c r="A12" s="56" t="s">
        <v>222</v>
      </c>
      <c r="B12" s="57" t="s">
        <v>223</v>
      </c>
      <c r="C12" s="57" t="s">
        <v>224</v>
      </c>
      <c r="D12" s="57" t="s">
        <v>225</v>
      </c>
      <c r="E12" s="56" t="s">
        <v>226</v>
      </c>
    </row>
    <row r="13" customFormat="false" ht="15" hidden="false" customHeight="true" outlineLevel="0" collapsed="false">
      <c r="A13" s="56" t="s">
        <v>227</v>
      </c>
      <c r="B13" s="57" t="s">
        <v>228</v>
      </c>
      <c r="C13" s="57"/>
      <c r="D13" s="57"/>
      <c r="E13" s="56" t="s">
        <v>229</v>
      </c>
    </row>
    <row r="15" customFormat="false" ht="15" hidden="false" customHeight="true" outlineLevel="0" collapsed="false">
      <c r="A15" s="4" t="s">
        <v>230</v>
      </c>
      <c r="B15" s="4"/>
      <c r="C15" s="4"/>
      <c r="D15" s="4"/>
      <c r="E15" s="4"/>
    </row>
    <row r="16" customFormat="false" ht="49.5" hidden="false" customHeight="true" outlineLevel="0" collapsed="false">
      <c r="A16" s="58" t="s">
        <v>231</v>
      </c>
      <c r="B16" s="59" t="s">
        <v>232</v>
      </c>
      <c r="C16" s="59"/>
      <c r="D16" s="59"/>
      <c r="E16" s="59"/>
    </row>
    <row r="17" customFormat="false" ht="49.5" hidden="false" customHeight="true" outlineLevel="0" collapsed="false">
      <c r="A17" s="58" t="s">
        <v>233</v>
      </c>
      <c r="B17" s="59" t="s">
        <v>234</v>
      </c>
      <c r="C17" s="59"/>
      <c r="D17" s="59"/>
      <c r="E17" s="59"/>
    </row>
    <row r="18" customFormat="false" ht="49.5" hidden="false" customHeight="true" outlineLevel="0" collapsed="false">
      <c r="A18" s="58" t="s">
        <v>235</v>
      </c>
      <c r="B18" s="59" t="s">
        <v>236</v>
      </c>
      <c r="C18" s="59"/>
      <c r="D18" s="59"/>
      <c r="E18" s="59"/>
    </row>
  </sheetData>
  <mergeCells count="6">
    <mergeCell ref="A1:E1"/>
    <mergeCell ref="A2:E2"/>
    <mergeCell ref="A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237</v>
      </c>
      <c r="B1" s="2"/>
    </row>
    <row r="3" customFormat="false" ht="15" hidden="false" customHeight="true" outlineLevel="0" collapsed="false">
      <c r="A3" s="4" t="s">
        <v>238</v>
      </c>
      <c r="B3" s="4"/>
    </row>
    <row r="4" customFormat="false" ht="31.5" hidden="false" customHeight="true" outlineLevel="0" collapsed="false">
      <c r="A4" s="58" t="s">
        <v>239</v>
      </c>
      <c r="B4" s="60" t="s">
        <v>240</v>
      </c>
    </row>
    <row r="5" customFormat="false" ht="19.5" hidden="false" customHeight="true" outlineLevel="0" collapsed="false">
      <c r="A5" s="58" t="s">
        <v>241</v>
      </c>
      <c r="B5" s="60" t="s">
        <v>242</v>
      </c>
    </row>
    <row r="7" customFormat="false" ht="19.5" hidden="false" customHeight="true" outlineLevel="0" collapsed="false">
      <c r="A7" s="58" t="s">
        <v>243</v>
      </c>
      <c r="B7" s="60" t="s">
        <v>244</v>
      </c>
    </row>
    <row r="8" customFormat="false" ht="19.5" hidden="false" customHeight="true" outlineLevel="0" collapsed="false">
      <c r="A8" s="58" t="s">
        <v>245</v>
      </c>
      <c r="B8" s="60" t="s">
        <v>246</v>
      </c>
    </row>
    <row r="9" customFormat="false" ht="31.5" hidden="false" customHeight="true" outlineLevel="0" collapsed="false">
      <c r="A9" s="58" t="s">
        <v>247</v>
      </c>
      <c r="B9" s="60" t="s">
        <v>248</v>
      </c>
    </row>
    <row r="11" customFormat="false" ht="31.5" hidden="false" customHeight="true" outlineLevel="0" collapsed="false">
      <c r="A11" s="58" t="s">
        <v>249</v>
      </c>
      <c r="B11" s="60" t="s">
        <v>250</v>
      </c>
    </row>
    <row r="12" customFormat="false" ht="31.5" hidden="false" customHeight="true" outlineLevel="0" collapsed="false">
      <c r="A12" s="58" t="s">
        <v>251</v>
      </c>
      <c r="B12" s="60" t="s">
        <v>252</v>
      </c>
    </row>
    <row r="13" customFormat="false" ht="31.5" hidden="false" customHeight="true" outlineLevel="0" collapsed="false">
      <c r="A13" s="58" t="s">
        <v>253</v>
      </c>
      <c r="B13" s="60" t="s">
        <v>254</v>
      </c>
    </row>
    <row r="15" customFormat="false" ht="48" hidden="false" customHeight="true" outlineLevel="0" collapsed="false">
      <c r="A15" s="58" t="s">
        <v>255</v>
      </c>
      <c r="B15" s="60" t="s">
        <v>256</v>
      </c>
    </row>
    <row r="16" customFormat="false" ht="31.5" hidden="false" customHeight="true" outlineLevel="0" collapsed="false">
      <c r="A16" s="58" t="s">
        <v>257</v>
      </c>
      <c r="B16" s="60" t="s">
        <v>258</v>
      </c>
    </row>
    <row r="17" customFormat="false" ht="19.5" hidden="false" customHeight="true" outlineLevel="0" collapsed="false">
      <c r="A17" s="58" t="s">
        <v>259</v>
      </c>
      <c r="B17" s="60" t="s">
        <v>260</v>
      </c>
    </row>
    <row r="18" customFormat="false" ht="31.5" hidden="false" customHeight="true" outlineLevel="0" collapsed="false">
      <c r="A18" s="58" t="s">
        <v>261</v>
      </c>
      <c r="B18" s="60" t="s">
        <v>262</v>
      </c>
    </row>
    <row r="20" customFormat="false" ht="31.5" hidden="false" customHeight="true" outlineLevel="0" collapsed="false">
      <c r="A20" s="58" t="s">
        <v>263</v>
      </c>
      <c r="B20" s="60" t="s">
        <v>264</v>
      </c>
    </row>
    <row r="21" customFormat="false" ht="19.5" hidden="false" customHeight="true" outlineLevel="0" collapsed="false">
      <c r="A21" s="58" t="s">
        <v>265</v>
      </c>
      <c r="B21" s="60" t="s">
        <v>266</v>
      </c>
    </row>
    <row r="23" customFormat="false" ht="79.5" hidden="false" customHeight="true" outlineLevel="0" collapsed="false">
      <c r="A23" s="58" t="s">
        <v>267</v>
      </c>
      <c r="B23" s="60" t="s">
        <v>268</v>
      </c>
    </row>
    <row r="25" customFormat="false" ht="49.5" hidden="false" customHeight="true" outlineLevel="0" collapsed="false">
      <c r="A25" s="58" t="s">
        <v>267</v>
      </c>
      <c r="B25" s="60" t="s">
        <v>269</v>
      </c>
    </row>
    <row r="27" customFormat="false" ht="99.75" hidden="false" customHeight="true" outlineLevel="0" collapsed="false">
      <c r="A27" s="58" t="s">
        <v>270</v>
      </c>
      <c r="B27" s="60" t="s">
        <v>271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2026-05-06T13:16:37Z</dcterms:created>
  <dc:creator>openpyxl</dc:creator>
  <dc:description/>
  <dc:language>en-US</dc:language>
  <cp:lastModifiedBy/>
  <dcterms:modified xsi:type="dcterms:W3CDTF">2026-05-07T01:10:57Z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